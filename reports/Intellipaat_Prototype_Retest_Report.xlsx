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mmary" sheetId="1" state="visible" r:id="rId3"/>
    <sheet name="Bug Log" sheetId="2" state="visible" r:id="rId4"/>
    <sheet name="Live Scenarios" sheetId="3" state="visible" r:id="rId5"/>
    <sheet name="Test Methods" sheetId="4" state="visible" r:id="rId6"/>
    <sheet name="Security Review" sheetId="5" state="visible" r:id="rId7"/>
  </sheets>
  <definedNames>
    <definedName function="false" hidden="true" localSheetId="1" name="_xlnm._FilterDatabase" vbProcedure="false">'Bug Log'!$A$1:$H$15</definedName>
    <definedName function="false" hidden="true" localSheetId="2" name="_xlnm._FilterDatabase" vbProcedure="false">'Live Scenarios'!$A$1:$E$28</definedName>
    <definedName function="false" hidden="true" localSheetId="4" name="_xlnm._FilterDatabase" vbProcedure="false">'Security Review'!$A$1:$F$18</definedName>
    <definedName function="false" hidden="true" localSheetId="3" name="_xlnm._FilterDatabase" vbProcedure="false">'Test Methods'!$A$1:$D$7</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<sst xmlns="http://schemas.openxmlformats.org/spreadsheetml/2006/main" count="417" uniqueCount="290">
  <si>
    <t xml:space="preserve">Fee Reconciliation Workbench — Retest Report</t>
  </si>
  <si>
    <t xml:space="preserve">Intellipaat PM assignment prototype · retested and security-reviewed 27 Oct 2026 · Yasin Jariwala</t>
  </si>
  <si>
    <t xml:space="preserve">Bugs found</t>
  </si>
  <si>
    <t xml:space="preserve">All bugs logged on the Bug Log sheet</t>
  </si>
  <si>
    <t xml:space="preserve">Bugs fixed</t>
  </si>
  <si>
    <t xml:space="preserve">Change Status on Bug Log to update</t>
  </si>
  <si>
    <t xml:space="preserve">Bugs open</t>
  </si>
  <si>
    <t xml:space="preserve">By severity</t>
  </si>
  <si>
    <t xml:space="preserve">Crash</t>
  </si>
  <si>
    <t xml:space="preserve">Page stopped working</t>
  </si>
  <si>
    <t xml:space="preserve">Money</t>
  </si>
  <si>
    <t xml:space="preserve">Could miscount money or hide a bank-data conflict</t>
  </si>
  <si>
    <t xml:space="preserve">Control</t>
  </si>
  <si>
    <t xml:space="preserve">Weakened a financial control</t>
  </si>
  <si>
    <t xml:space="preserve">Matching</t>
  </si>
  <si>
    <t xml:space="preserve">Missed a valid link</t>
  </si>
  <si>
    <t xml:space="preserve">Workflow</t>
  </si>
  <si>
    <t xml:space="preserve">No way to finish a task</t>
  </si>
  <si>
    <t xml:space="preserve">Display</t>
  </si>
  <si>
    <t xml:space="preserve">Showed misleading information</t>
  </si>
  <si>
    <t xml:space="preserve">Usability</t>
  </si>
  <si>
    <t xml:space="preserve">Harder to use</t>
  </si>
  <si>
    <t xml:space="preserve">Live scenarios</t>
  </si>
  <si>
    <t xml:space="preserve">Failed on first run</t>
  </si>
  <si>
    <t xml:space="preserve">Includes failures cascading from earlier crashes</t>
  </si>
  <si>
    <t xml:space="preserve">Passing on final run</t>
  </si>
  <si>
    <t xml:space="preserve">Run on the published page and the standalone file</t>
  </si>
  <si>
    <t xml:space="preserve">Final pass rate</t>
  </si>
  <si>
    <t xml:space="preserve">Random stress-test actions</t>
  </si>
  <si>
    <t xml:space="preserve">No invariant violations after fixes</t>
  </si>
  <si>
    <t xml:space="preserve">In-app QA tests passing</t>
  </si>
  <si>
    <t xml:space="preserve">Security checks run</t>
  </si>
  <si>
    <t xml:space="preserve">Security findings fixed</t>
  </si>
  <si>
    <t xml:space="preserve">High-risk findings shown on the Security Review sheet</t>
  </si>
  <si>
    <t xml:space="preserve">Security checks passed first time</t>
  </si>
  <si>
    <t xml:space="preserve">Security findings open</t>
  </si>
  <si>
    <t xml:space="preserve">Green numbers link to other sheets. Edit the Status column on Bug Log and the counts update.</t>
  </si>
  <si>
    <t xml:space="preserve">Bug ID</t>
  </si>
  <si>
    <t xml:space="preserve">What went wrong</t>
  </si>
  <si>
    <t xml:space="preserve">Severity</t>
  </si>
  <si>
    <t xml:space="preserve">How it was found</t>
  </si>
  <si>
    <t xml:space="preserve">Root cause</t>
  </si>
  <si>
    <t xml:space="preserve">Fix</t>
  </si>
  <si>
    <t xml:space="preserve">Retest coverage</t>
  </si>
  <si>
    <t xml:space="preserve">Status</t>
  </si>
  <si>
    <t xml:space="preserve">BUG-01</t>
  </si>
  <si>
    <t xml:space="preserve">Page crashed when the bank re-sent a reversal and its detail was opened</t>
  </si>
  <si>
    <t xml:space="preserve">Live scenario S04</t>
  </si>
  <si>
    <t xml:space="preserve">Reversal panel assumed every reversal record had reversal data; duplicates do not</t>
  </si>
  <si>
    <t xml:space="preserve">Duplicate records skip the reversal and candidate panels</t>
  </si>
  <si>
    <t xml:space="preserve">S04, TC-12</t>
  </si>
  <si>
    <t xml:space="preserve">Fixed</t>
  </si>
  <si>
    <t xml:space="preserve">BUG-02</t>
  </si>
  <si>
    <t xml:space="preserve">Allocation form crashed after Reject, Verify cash or Retry student lookup</t>
  </si>
  <si>
    <t xml:space="preserve">Live scenarios S10, S11</t>
  </si>
  <si>
    <t xml:space="preserve">Editor state was cleared after the page re-rendered, leaving a form with no state behind it</t>
  </si>
  <si>
    <t xml:space="preserve">Editor re-initialises whenever the payment changes; handlers guard against missing state</t>
  </si>
  <si>
    <t xml:space="preserve">S03, S10, S11</t>
  </si>
  <si>
    <t xml:space="preserve">BUG-03</t>
  </si>
  <si>
    <t xml:space="preserve">Reset crashed when signed in as a student registered during the demo</t>
  </si>
  <si>
    <t xml:space="preserve">Live scenario S14</t>
  </si>
  <si>
    <t xml:space="preserve">Reset removed the student but kept the signed-in role</t>
  </si>
  <si>
    <t xml:space="preserve">Reset falls back to Operations if the signed-in student no longer exists</t>
  </si>
  <si>
    <t xml:space="preserve">S14</t>
  </si>
  <si>
    <t xml:space="preserve">BUG-04</t>
  </si>
  <si>
    <t xml:space="preserve">Same bank ID with a different amount was silently filed as a harmless duplicate</t>
  </si>
  <si>
    <t xml:space="preserve">Random stress test</t>
  </si>
  <si>
    <t xml:space="preserve">Duplicate check compared IDs only, and copied the original record type</t>
  </si>
  <si>
    <t xml:space="preserve">New "Same ID, different amount" status; adds no money; only Finance can close it with a note</t>
  </si>
  <si>
    <t xml:space="preserve">S26, TC-19</t>
  </si>
  <si>
    <t xml:space="preserve">BUG-05</t>
  </si>
  <si>
    <t xml:space="preserve">Bank ID with lower case or spaces slipped past the duplicate check</t>
  </si>
  <si>
    <t xml:space="preserve">Live scenario S07</t>
  </si>
  <si>
    <t xml:space="preserve">Exact string comparison of transaction IDs</t>
  </si>
  <si>
    <t xml:space="preserve">IDs normalised (case, spacing, punctuation, digit-only match for 10+ digits)</t>
  </si>
  <si>
    <t xml:space="preserve">S07, TC-19</t>
  </si>
  <si>
    <t xml:space="preserve">BUG-06</t>
  </si>
  <si>
    <t xml:space="preserve">A reversal could attach to P4 (a duplicate) or to cash</t>
  </si>
  <si>
    <t xml:space="preserve">Live scenario S05</t>
  </si>
  <si>
    <t xml:space="preserve">Remark lookup accepted any record ID</t>
  </si>
  <si>
    <t xml:space="preserve">Reversals only link to real, non-duplicate bank payments; otherwise exception with reason</t>
  </si>
  <si>
    <t xml:space="preserve">S05, TC-22</t>
  </si>
  <si>
    <t xml:space="preserve">BUG-07</t>
  </si>
  <si>
    <t xml:space="preserve">A positive credit with a reversal reference was treated as a reversal</t>
  </si>
  <si>
    <t xml:space="preserve">Live scenario S06</t>
  </si>
  <si>
    <t xml:space="preserve">Reversal decided by reference field, not by sign of amount</t>
  </si>
  <si>
    <t xml:space="preserve">Only negative amounts are reversals; positive ones become payments with a warning flag</t>
  </si>
  <si>
    <t xml:space="preserve">S06, TC-22</t>
  </si>
  <si>
    <t xml:space="preserve">BUG-08</t>
  </si>
  <si>
    <t xml:space="preserve">Two students claiming the same payment both showed as strong matches</t>
  </si>
  <si>
    <t xml:space="preserve">Live scenario S09</t>
  </si>
  <si>
    <t xml:space="preserve">Each claim added its own High candidate with no conflict check</t>
  </si>
  <si>
    <t xml:space="preserve">Both downgraded to Medium; conflict flagged; also flags claims on money allocated to someone else</t>
  </si>
  <si>
    <t xml:space="preserve">S09, TC-21</t>
  </si>
  <si>
    <t xml:space="preserve">BUG-09</t>
  </si>
  <si>
    <t xml:space="preserve">UTR typed as plain digits never linked to the bank record</t>
  </si>
  <si>
    <t xml:space="preserve">Live scenario S08</t>
  </si>
  <si>
    <t xml:space="preserve">Claim UTR compared exactly with formatted bank ID</t>
  </si>
  <si>
    <t xml:space="preserve">Same ID normalisation used for claim linking and re-checks</t>
  </si>
  <si>
    <t xml:space="preserve">S08, TC-20</t>
  </si>
  <si>
    <t xml:space="preserve">BUG-10</t>
  </si>
  <si>
    <t xml:space="preserve">Reversal exceptions stayed in the queue forever with no way to close them</t>
  </si>
  <si>
    <t xml:space="preserve">Live scenario S15</t>
  </si>
  <si>
    <t xml:space="preserve">No close or re-link action existed</t>
  </si>
  <si>
    <t xml:space="preserve">Finance approver can re-check the link or close without applying (note required, audited)</t>
  </si>
  <si>
    <t xml:space="preserve">S15, TC-22</t>
  </si>
  <si>
    <t xml:space="preserve">BUG-11</t>
  </si>
  <si>
    <t xml:space="preserve">Blocked reversal still previewed its effect (e.g. ₹10,000 → −₹2,000)</t>
  </si>
  <si>
    <t xml:space="preserve">Screenshot review</t>
  </si>
  <si>
    <t xml:space="preserve">Impact preview shown for every non-applied state</t>
  </si>
  <si>
    <t xml:space="preserve">Preview only while awaiting approval; exceptions show the unchanged amount</t>
  </si>
  <si>
    <t xml:space="preserve">Visual check</t>
  </si>
  <si>
    <t xml:space="preserve">BUG-12</t>
  </si>
  <si>
    <t xml:space="preserve">Student still told "being allocated" after the payment was posted</t>
  </si>
  <si>
    <t xml:space="preserve">Live scenario S21</t>
  </si>
  <si>
    <t xml:space="preserve">Claim status ignored allocations on the linked bank record</t>
  </si>
  <si>
    <t xml:space="preserve">Shows "Received and recognised" with the posted amount</t>
  </si>
  <si>
    <t xml:space="preserve">S21</t>
  </si>
  <si>
    <t xml:space="preserve">BUG-13</t>
  </si>
  <si>
    <t xml:space="preserve">Books check said it included student claims but left out P7</t>
  </si>
  <si>
    <t xml:space="preserve">Live scenario S22</t>
  </si>
  <si>
    <t xml:space="preserve">Unverified total counted cash only</t>
  </si>
  <si>
    <t xml:space="preserve">Unverified total includes claims not yet found in the bank</t>
  </si>
  <si>
    <t xml:space="preserve">S22</t>
  </si>
  <si>
    <t xml:space="preserve">BUG-14</t>
  </si>
  <si>
    <t xml:space="preserve">Queue rows not keyboard-reachable; simulator reopened on last-used tab</t>
  </si>
  <si>
    <t xml:space="preserve">Live scenarios S23, S15</t>
  </si>
  <si>
    <t xml:space="preserve">Rows lacked tabindex; tab state persisted</t>
  </si>
  <si>
    <t xml:space="preserve">Rows focusable with Enter to open; simulator always opens on Bank feed</t>
  </si>
  <si>
    <t xml:space="preserve">S23, S15</t>
  </si>
  <si>
    <t xml:space="preserve">Scenario</t>
  </si>
  <si>
    <t xml:space="preserve">What was tested</t>
  </si>
  <si>
    <t xml:space="preserve">First run</t>
  </si>
  <si>
    <t xml:space="preserve">Bug(s) found</t>
  </si>
  <si>
    <t xml:space="preserve">Final run</t>
  </si>
  <si>
    <t xml:space="preserve">S01</t>
  </si>
  <si>
    <t xml:space="preserve">Ops matches P1 → Admission; Ops cannot approve; Finance approves; ledger + receipt</t>
  </si>
  <si>
    <t xml:space="preserve">Pass</t>
  </si>
  <si>
    <t xml:space="preserve">S02</t>
  </si>
  <si>
    <t xml:space="preserve">P6 split through the UI, approved, money counted once</t>
  </si>
  <si>
    <t xml:space="preserve">S03</t>
  </si>
  <si>
    <t xml:space="preserve">Finance rejects a proposal, Ops re-proposes straight away</t>
  </si>
  <si>
    <t xml:space="preserve">S04</t>
  </si>
  <si>
    <t xml:space="preserve">Bank re-sends the P8 reversal; open its detail page</t>
  </si>
  <si>
    <t xml:space="preserve">Fail</t>
  </si>
  <si>
    <t xml:space="preserve">S05</t>
  </si>
  <si>
    <t xml:space="preserve">Reversal whose remark points at duplicate P4</t>
  </si>
  <si>
    <t xml:space="preserve">S06</t>
  </si>
  <si>
    <t xml:space="preserve">Positive amount wrongly tagged with a reversal reference</t>
  </si>
  <si>
    <t xml:space="preserve">S07</t>
  </si>
  <si>
    <t xml:space="preserve">Re-import of P1 with different formatting (lower case, spaces)</t>
  </si>
  <si>
    <t xml:space="preserve">S08</t>
  </si>
  <si>
    <t xml:space="preserve">Student types UTR digits only; bank credit arrives later</t>
  </si>
  <si>
    <t xml:space="preserve">S09</t>
  </si>
  <si>
    <t xml:space="preserve">Two students claim the same UTR</t>
  </si>
  <si>
    <t xml:space="preserve">S10</t>
  </si>
  <si>
    <t xml:space="preserve">Payment before registration → sync → retry → allocate</t>
  </si>
  <si>
    <t xml:space="preserve">S11</t>
  </si>
  <si>
    <t xml:space="preserve">Cash P5: counsellor evidence → counsellor cannot verify → Finance verifies → allocate</t>
  </si>
  <si>
    <t xml:space="preserve">S12</t>
  </si>
  <si>
    <t xml:space="preserve">Student-system timeout → retry twice → one entry</t>
  </si>
  <si>
    <t xml:space="preserve">S13</t>
  </si>
  <si>
    <t xml:space="preserve">Wrong allocation corrected, then re-allocated correctly</t>
  </si>
  <si>
    <t xml:space="preserve">Reset while signed in as a late-registered student</t>
  </si>
  <si>
    <t xml:space="preserve">S15</t>
  </si>
  <si>
    <t xml:space="preserve">Oversized second reversal on P3 goes to exception and can be closed</t>
  </si>
  <si>
    <t xml:space="preserve">BUG-10, BUG-14</t>
  </si>
  <si>
    <t xml:space="preserve">S16</t>
  </si>
  <si>
    <t xml:space="preserve">Deep links to missing records</t>
  </si>
  <si>
    <t xml:space="preserve">S17</t>
  </si>
  <si>
    <t xml:space="preserve">Every view renders for every role</t>
  </si>
  <si>
    <t xml:space="preserve">S18</t>
  </si>
  <si>
    <t xml:space="preserve">Phone width: no sideways page scroll on any view</t>
  </si>
  <si>
    <t xml:space="preserve">S19</t>
  </si>
  <si>
    <t xml:space="preserve">Admin turns on AA-1, resets; P1 and P3 auto-post</t>
  </si>
  <si>
    <t xml:space="preserve">S20</t>
  </si>
  <si>
    <t xml:space="preserve">Overpayment needs an approval note</t>
  </si>
  <si>
    <t xml:space="preserve">Student view shows a linked + posted claim as recognised</t>
  </si>
  <si>
    <t xml:space="preserve">Books check card counts the student claims it says it counts</t>
  </si>
  <si>
    <t xml:space="preserve">S23</t>
  </si>
  <si>
    <t xml:space="preserve">Queue keyboard access</t>
  </si>
  <si>
    <t xml:space="preserve">S24</t>
  </si>
  <si>
    <t xml:space="preserve">Search, filters and audit filter while typing</t>
  </si>
  <si>
    <t xml:space="preserve">S25</t>
  </si>
  <si>
    <t xml:space="preserve">Two proposals pending, reversal tries to over-commit</t>
  </si>
  <si>
    <t xml:space="preserve">S26</t>
  </si>
  <si>
    <t xml:space="preserve">Same bank ID re-sent with a different amount (added after stress test)</t>
  </si>
  <si>
    <t xml:space="preserve">Not in first run</t>
  </si>
  <si>
    <t xml:space="preserve">S27</t>
  </si>
  <si>
    <t xml:space="preserve">Run the in-app QA suite from the Engineering page (added in retest)</t>
  </si>
  <si>
    <t xml:space="preserve">Note: some first-run failures (S15, S18–S25) partly cascaded from earlier crashes in the same browser session; the "Bug(s) found" column lists only genuine defects.</t>
  </si>
  <si>
    <t xml:space="preserve">Method</t>
  </si>
  <si>
    <t xml:space="preserve">What it covers</t>
  </si>
  <si>
    <t xml:space="preserve">Volume</t>
  </si>
  <si>
    <t xml:space="preserve">Pass criteria</t>
  </si>
  <si>
    <t xml:space="preserve">Live browser scenarios</t>
  </si>
  <si>
    <t xml:space="preserve">Scripted clicks and typing in a real browser across Operations, Counsellor, Finance reviewer, Finance approver, Admin and each student</t>
  </si>
  <si>
    <t xml:space="preserve">After every step: control difference ₹0, no duplicate receipt or ledger entry, no over-allocated payment, no page errors</t>
  </si>
  <si>
    <t xml:space="preserve">Phone-width check</t>
  </si>
  <si>
    <t xml:space="preserve">Every page and the simulator at 390px wide</t>
  </si>
  <si>
    <t xml:space="preserve">12 views + modal</t>
  </si>
  <si>
    <t xml:space="preserve">No sideways page scroll</t>
  </si>
  <si>
    <t xml:space="preserve">Random actions by random roles on the rules engine (3 seeds × 60 runs × 400 steps)</t>
  </si>
  <si>
    <t xml:space="preserve">Books balance; nothing reversed beyond receipt; no self-approval; no ledger entry from unverified money; no two live records with one bank ID</t>
  </si>
  <si>
    <t xml:space="preserve">In-app QA suite</t>
  </si>
  <si>
    <t xml:space="preserve">Automated checks on the Engineering and QA page, mapped to acceptance criteria</t>
  </si>
  <si>
    <t xml:space="preserve">All passing (18 original + 4 regression TC-19 to TC-22 + 3 security TC-23 to TC-25)</t>
  </si>
  <si>
    <t xml:space="preserve">Security attack suite</t>
  </si>
  <si>
    <t xml:space="preserve">XSS in every text field, link tampering, student data leaks, UTR probing, claim hijack, separation of duties, input abuse, least privilege, network and storage</t>
  </si>
  <si>
    <t xml:space="preserve">0 findings open on published page and standalone file</t>
  </si>
  <si>
    <t xml:space="preserve">Visual review</t>
  </si>
  <si>
    <t xml:space="preserve">Screenshots of ledger, queue and reversal-exception screens</t>
  </si>
  <si>
    <t xml:space="preserve">Layout and wording correct</t>
  </si>
  <si>
    <t xml:space="preserve">ID</t>
  </si>
  <si>
    <t xml:space="preserve">Area</t>
  </si>
  <si>
    <t xml:space="preserve">Finding / check</t>
  </si>
  <si>
    <t xml:space="preserve">Risk</t>
  </si>
  <si>
    <t xml:space="preserve">Fix or result</t>
  </si>
  <si>
    <t xml:space="preserve">SEC-01</t>
  </si>
  <si>
    <t xml:space="preserve">Data leak</t>
  </si>
  <si>
    <t xml:space="preserve">Student could see college-wide finance totals (verified, posted, pending, unallocated) on the Start page</t>
  </si>
  <si>
    <t xml:space="preserve">High</t>
  </si>
  <si>
    <t xml:space="preserve">Totals shown to staff only; students see a link to their own ledger</t>
  </si>
  <si>
    <t xml:space="preserve">SEC-02</t>
  </si>
  <si>
    <t xml:space="preserve">Probing</t>
  </si>
  <si>
    <t xml:space="preserve">Student could test any UTR and the screen confirmed "Found in bank records", revealing other people's payments</t>
  </si>
  <si>
    <t xml:space="preserve">Students only ever see "Under review" until money is allocated to them</t>
  </si>
  <si>
    <t xml:space="preserve">SEC-03</t>
  </si>
  <si>
    <t xml:space="preserve">Claim hijack</t>
  </si>
  <si>
    <t xml:space="preserve">Student S102 could claim P1 (bank reference names S101) and became an equal High-confidence candidate</t>
  </si>
  <si>
    <t xml:space="preserve">A claim can never outrank the bank reference; disputed claim set to Low and flagged</t>
  </si>
  <si>
    <t xml:space="preserve">SEC-04</t>
  </si>
  <si>
    <t xml:space="preserve">Separation of duties</t>
  </si>
  <si>
    <t xml:space="preserve">One Finance approver could approve an allocation and then reverse it alone</t>
  </si>
  <si>
    <t xml:space="preserve">Corrections are two-person: request by one, approval by a different Finance approver</t>
  </si>
  <si>
    <t xml:space="preserve">SEC-05</t>
  </si>
  <si>
    <t xml:space="preserve">Impersonation</t>
  </si>
  <si>
    <t xml:space="preserve">Staff could file a mismatch case with no student behind it</t>
  </si>
  <si>
    <t xml:space="preserve">Medium</t>
  </si>
  <si>
    <t xml:space="preserve">Only a signed-in student can raise a case, for themselves; attempts are audited</t>
  </si>
  <si>
    <t xml:space="preserve">SEC-06</t>
  </si>
  <si>
    <t xml:space="preserve">Abuse / flooding</t>
  </si>
  <si>
    <t xml:space="preserve">A student could submit unlimited payment claims</t>
  </si>
  <si>
    <t xml:space="preserve">Maximum 5 claims (and 5 open cases) under review per student</t>
  </si>
  <si>
    <t xml:space="preserve">SEC-07</t>
  </si>
  <si>
    <t xml:space="preserve">Input validation</t>
  </si>
  <si>
    <t xml:space="preserve">Implausible amounts (e.g. ₹1,000 trillion, text, blank ID) were accepted as payments</t>
  </si>
  <si>
    <t xml:space="preserve">Rejected at import and audited; limit ₹10 crore per event</t>
  </si>
  <si>
    <t xml:space="preserve">SEC-08</t>
  </si>
  <si>
    <t xml:space="preserve">Free text was unbounded (100,000-character case accepted)</t>
  </si>
  <si>
    <t xml:space="preserve">Low</t>
  </si>
  <si>
    <t xml:space="preserve">All text fields clipped (IDs 64, names 120, notes 1,000 characters)</t>
  </si>
  <si>
    <t xml:space="preserve">SEC-09</t>
  </si>
  <si>
    <t xml:space="preserve">Least privilege</t>
  </si>
  <si>
    <t xml:space="preserve">Counsellors and Operations could read the full audit log, including evidence notes for all students</t>
  </si>
  <si>
    <t xml:space="preserve">Audit log limited to Finance reviewer, Finance approver and Admin</t>
  </si>
  <si>
    <t xml:space="preserve">SEC-10</t>
  </si>
  <si>
    <t xml:space="preserve">Robustness</t>
  </si>
  <si>
    <t xml:space="preserve">Links like #constructor or #__proto__ broke the page</t>
  </si>
  <si>
    <t xml:space="preserve">Only known page names are routed; anything else opens the Start page</t>
  </si>
  <si>
    <t xml:space="preserve">SEC-11</t>
  </si>
  <si>
    <t xml:space="preserve">Hardening</t>
  </si>
  <si>
    <t xml:space="preserve">Standalone file had no Content-Security-Policy</t>
  </si>
  <si>
    <t xml:space="preserve">Strict policy added: no network calls, no outside scripts, no forms, no plugins; fonts only from Google Fonts</t>
  </si>
  <si>
    <t xml:space="preserve">SEC-12</t>
  </si>
  <si>
    <t xml:space="preserve">Code injection (XSS)</t>
  </si>
  <si>
    <t xml:space="preserve">Script payloads typed into 25 text fields, shown on every screen and role</t>
  </si>
  <si>
    <t xml:space="preserve">—</t>
  </si>
  <si>
    <t xml:space="preserve">All output escaped; nothing executed</t>
  </si>
  <si>
    <t xml:space="preserve">Passed</t>
  </si>
  <si>
    <t xml:space="preserve">SEC-13</t>
  </si>
  <si>
    <t xml:space="preserve">Access control</t>
  </si>
  <si>
    <t xml:space="preserve">Student opening another student's ledger or staff screens by link</t>
  </si>
  <si>
    <t xml:space="preserve">Forced to own ledger</t>
  </si>
  <si>
    <t xml:space="preserve">SEC-14</t>
  </si>
  <si>
    <t xml:space="preserve">Student seeing other students' receipts</t>
  </si>
  <si>
    <t xml:space="preserve">Only own receipts shown</t>
  </si>
  <si>
    <t xml:space="preserve">SEC-15</t>
  </si>
  <si>
    <t xml:space="preserve">Network</t>
  </si>
  <si>
    <t xml:space="preserve">Any outbound calls (fetch, XHR, WebSocket, beacon) or eval</t>
  </si>
  <si>
    <t xml:space="preserve">None; only Google Fonts</t>
  </si>
  <si>
    <t xml:space="preserve">SEC-16</t>
  </si>
  <si>
    <t xml:space="preserve">Storage</t>
  </si>
  <si>
    <t xml:space="preserve">Data written to cookies, localStorage or sessionStorage</t>
  </si>
  <si>
    <t xml:space="preserve">None</t>
  </si>
  <si>
    <t xml:space="preserve">SEC-17</t>
  </si>
  <si>
    <t xml:space="preserve">File handling</t>
  </si>
  <si>
    <t xml:space="preserve">Uploaded screenshot contents read or sent anywhere</t>
  </si>
  <si>
    <t xml:space="preserve">Only the file name is read; file never leaves the browser</t>
  </si>
  <si>
    <t xml:space="preserve">Scope: this is a browser prototype. Roles are switched freely for demonstration and all rules run in the page. In production every permission and limit above must be enforced on the server, behind real sign-in.</t>
  </si>
</sst>
</file>

<file path=xl/styles.xml><?xml version="1.0" encoding="utf-8"?>
<styleSheet xmlns="http://schemas.openxmlformats.org/spreadsheetml/2006/main">
  <numFmts count="4">
    <numFmt numFmtId="164" formatCode="General"/>
    <numFmt numFmtId="165" formatCode="General"/>
    <numFmt numFmtId="166" formatCode="0%"/>
    <numFmt numFmtId="167" formatCode="#,##0"/>
  </numFmts>
  <fonts count="13">
    <font>
      <sz val="11"/>
      <color theme="1"/>
      <name val="Calibri"/>
      <family val="2"/>
      <charset val="1"/>
    </font>
    <font>
      <sz val="10"/>
      <name val="Arial"/>
      <family val="0"/>
    </font>
    <font>
      <sz val="10"/>
      <name val="Arial"/>
      <family val="0"/>
    </font>
    <font>
      <sz val="10"/>
      <name val="Arial"/>
      <family val="0"/>
    </font>
    <font>
      <b val="true"/>
      <sz val="14"/>
      <color rgb="FF0A6866"/>
      <name val="Arial"/>
      <family val="0"/>
      <charset val="1"/>
    </font>
    <font>
      <i val="true"/>
      <sz val="10"/>
      <color rgb="FF536766"/>
      <name val="Arial"/>
      <family val="0"/>
      <charset val="1"/>
    </font>
    <font>
      <sz val="10"/>
      <name val="Arial"/>
      <family val="0"/>
      <charset val="1"/>
    </font>
    <font>
      <sz val="10"/>
      <color rgb="FF008000"/>
      <name val="Arial"/>
      <family val="0"/>
      <charset val="1"/>
    </font>
    <font>
      <sz val="9"/>
      <color rgb="FF536766"/>
      <name val="Arial"/>
      <family val="0"/>
      <charset val="1"/>
    </font>
    <font>
      <b val="true"/>
      <sz val="10"/>
      <name val="Arial"/>
      <family val="0"/>
      <charset val="1"/>
    </font>
    <font>
      <sz val="10"/>
      <color rgb="FF000000"/>
      <name val="Arial"/>
      <family val="0"/>
      <charset val="1"/>
    </font>
    <font>
      <i val="true"/>
      <sz val="9"/>
      <name val="Arial"/>
      <family val="0"/>
      <charset val="1"/>
    </font>
    <font>
      <b val="true"/>
      <sz val="10"/>
      <color rgb="FFFFFFFF"/>
      <name val="Arial"/>
      <family val="0"/>
      <charset val="1"/>
    </font>
  </fonts>
  <fills count="3">
    <fill>
      <patternFill patternType="none"/>
    </fill>
    <fill>
      <patternFill patternType="gray125"/>
    </fill>
    <fill>
      <patternFill patternType="solid">
        <fgColor rgb="FF0A6866"/>
        <bgColor rgb="FF008080"/>
      </patternFill>
    </fill>
  </fills>
  <borders count="2">
    <border diagonalUp="false" diagonalDown="false">
      <left/>
      <right/>
      <top/>
      <bottom/>
      <diagonal/>
    </border>
    <border diagonalUp="false" diagonalDown="false">
      <left style="thin">
        <color rgb="FFD4DEDE"/>
      </left>
      <right style="thin">
        <color rgb="FFD4DEDE"/>
      </right>
      <top style="thin">
        <color rgb="FFD4DEDE"/>
      </top>
      <bottom style="thin">
        <color rgb="FFD4DEDE"/>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5" fontId="7" fillId="0" borderId="1"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6" fontId="10" fillId="0" borderId="1" xfId="0" applyFont="true" applyBorder="true" applyAlignment="false" applyProtection="false">
      <alignment horizontal="general" vertical="bottom" textRotation="0" wrapText="false" indent="0" shrinkToFit="false"/>
      <protection locked="true" hidden="false"/>
    </xf>
    <xf numFmtId="167" fontId="7" fillId="0" borderId="1" xfId="0" applyFont="true" applyBorder="tru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2" fillId="2" borderId="1" xfId="0" applyFont="true" applyBorder="true" applyAlignment="true" applyProtection="false">
      <alignment horizontal="general" vertical="center"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9">
    <dxf>
      <fill>
        <patternFill patternType="solid">
          <fgColor rgb="FF0A6866"/>
          <bgColor rgb="FF000000"/>
        </patternFill>
      </fill>
    </dxf>
    <dxf>
      <fill>
        <patternFill patternType="solid">
          <bgColor rgb="FF000000"/>
        </patternFill>
      </fill>
    </dxf>
    <dxf>
      <fill>
        <patternFill patternType="solid">
          <fgColor rgb="FFFFFFFF"/>
          <bgColor rgb="FF000000"/>
        </patternFill>
      </fill>
    </dxf>
    <dxf>
      <fill>
        <patternFill patternType="solid">
          <fgColor rgb="FFFAE3E0"/>
          <bgColor rgb="FF000000"/>
        </patternFill>
      </fill>
    </dxf>
    <dxf>
      <fill>
        <patternFill patternType="solid">
          <fgColor rgb="FFFAEDD4"/>
          <bgColor rgb="FF000000"/>
        </patternFill>
      </fill>
    </dxf>
    <dxf>
      <fill>
        <patternFill patternType="solid">
          <fgColor rgb="FFE0F2E6"/>
          <bgColor rgb="FF000000"/>
        </patternFill>
      </fill>
    </dxf>
    <dxf>
      <fill>
        <patternFill>
          <bgColor rgb="FFFAE3E0"/>
        </patternFill>
      </fill>
    </dxf>
    <dxf>
      <fill>
        <patternFill>
          <bgColor rgb="FFFAEDD4"/>
        </patternFill>
      </fill>
    </dxf>
    <dxf>
      <fill>
        <patternFill>
          <bgColor rgb="FFE0F2E6"/>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A6866"/>
      <rgbColor rgb="FFC0C0C0"/>
      <rgbColor rgb="FF808080"/>
      <rgbColor rgb="FF9999FF"/>
      <rgbColor rgb="FF993366"/>
      <rgbColor rgb="FFFAEDD4"/>
      <rgbColor rgb="FFE0F2E6"/>
      <rgbColor rgb="FF660066"/>
      <rgbColor rgb="FFFF8080"/>
      <rgbColor rgb="FF0066CC"/>
      <rgbColor rgb="FFD4DEDE"/>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AE3E0"/>
      <rgbColor rgb="FF3366FF"/>
      <rgbColor rgb="FF33CCCC"/>
      <rgbColor rgb="FF99CC00"/>
      <rgbColor rgb="FFFFCC00"/>
      <rgbColor rgb="FFFF9900"/>
      <rgbColor rgb="FFFF6600"/>
      <rgbColor rgb="FF536766"/>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_rels/sheet5.xml.rels><?xml version="1.0" encoding="UTF-8"?>
<Relationships xmlns="http://schemas.openxmlformats.org/package/2006/relationships"><Relationship Id="rId1" Type="http://schemas.openxmlformats.org/officeDocument/2006/relationships/drawing" Target="../drawings/drawing4.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9"/>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14"/>
    <col collapsed="false" customWidth="true" hidden="false" outlineLevel="0" max="3" min="3" style="0" width="60"/>
  </cols>
  <sheetData>
    <row r="1" customFormat="false" ht="17.35"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c r="B4" s="4" t="n">
        <f aca="false">COUNTA('Bug Log'!A2:A15)</f>
        <v>14</v>
      </c>
      <c r="C4" s="5" t="s">
        <v>3</v>
      </c>
    </row>
    <row r="5" customFormat="false" ht="15" hidden="false" customHeight="false" outlineLevel="0" collapsed="false">
      <c r="A5" s="3" t="s">
        <v>4</v>
      </c>
      <c r="B5" s="4" t="n">
        <f aca="false">COUNTIF('Bug Log'!H2:H15,"Fixed")</f>
        <v>14</v>
      </c>
      <c r="C5" s="5" t="s">
        <v>5</v>
      </c>
    </row>
    <row r="6" customFormat="false" ht="15" hidden="false" customHeight="false" outlineLevel="0" collapsed="false">
      <c r="A6" s="3" t="s">
        <v>6</v>
      </c>
      <c r="B6" s="4" t="n">
        <f aca="false">COUNTIF('Bug Log'!H2:H15,"Open")</f>
        <v>0</v>
      </c>
    </row>
    <row r="8" customFormat="false" ht="15" hidden="false" customHeight="false" outlineLevel="0" collapsed="false">
      <c r="A8" s="6" t="s">
        <v>7</v>
      </c>
    </row>
    <row r="9" customFormat="false" ht="15" hidden="false" customHeight="false" outlineLevel="0" collapsed="false">
      <c r="A9" s="3" t="s">
        <v>8</v>
      </c>
      <c r="B9" s="4" t="n">
        <f aca="false">COUNTIF('Bug Log'!C2:C15,A9)</f>
        <v>3</v>
      </c>
      <c r="C9" s="5" t="s">
        <v>9</v>
      </c>
    </row>
    <row r="10" customFormat="false" ht="15" hidden="false" customHeight="false" outlineLevel="0" collapsed="false">
      <c r="A10" s="3" t="s">
        <v>10</v>
      </c>
      <c r="B10" s="4" t="n">
        <f aca="false">COUNTIF('Bug Log'!C2:C15,A10)</f>
        <v>4</v>
      </c>
      <c r="C10" s="5" t="s">
        <v>11</v>
      </c>
    </row>
    <row r="11" customFormat="false" ht="15" hidden="false" customHeight="false" outlineLevel="0" collapsed="false">
      <c r="A11" s="3" t="s">
        <v>12</v>
      </c>
      <c r="B11" s="4" t="n">
        <f aca="false">COUNTIF('Bug Log'!C2:C15,A11)</f>
        <v>1</v>
      </c>
      <c r="C11" s="5" t="s">
        <v>13</v>
      </c>
    </row>
    <row r="12" customFormat="false" ht="15" hidden="false" customHeight="false" outlineLevel="0" collapsed="false">
      <c r="A12" s="3" t="s">
        <v>14</v>
      </c>
      <c r="B12" s="4" t="n">
        <f aca="false">COUNTIF('Bug Log'!C2:C15,A12)</f>
        <v>1</v>
      </c>
      <c r="C12" s="5" t="s">
        <v>15</v>
      </c>
    </row>
    <row r="13" customFormat="false" ht="15" hidden="false" customHeight="false" outlineLevel="0" collapsed="false">
      <c r="A13" s="3" t="s">
        <v>16</v>
      </c>
      <c r="B13" s="4" t="n">
        <f aca="false">COUNTIF('Bug Log'!C2:C15,A13)</f>
        <v>1</v>
      </c>
      <c r="C13" s="5" t="s">
        <v>17</v>
      </c>
    </row>
    <row r="14" customFormat="false" ht="15" hidden="false" customHeight="false" outlineLevel="0" collapsed="false">
      <c r="A14" s="3" t="s">
        <v>18</v>
      </c>
      <c r="B14" s="4" t="n">
        <f aca="false">COUNTIF('Bug Log'!C2:C15,A14)</f>
        <v>3</v>
      </c>
      <c r="C14" s="5" t="s">
        <v>19</v>
      </c>
    </row>
    <row r="15" customFormat="false" ht="15" hidden="false" customHeight="false" outlineLevel="0" collapsed="false">
      <c r="A15" s="3" t="s">
        <v>20</v>
      </c>
      <c r="B15" s="4" t="n">
        <f aca="false">COUNTIF('Bug Log'!C2:C15,A15)</f>
        <v>1</v>
      </c>
      <c r="C15" s="5" t="s">
        <v>21</v>
      </c>
    </row>
    <row r="17" customFormat="false" ht="15" hidden="false" customHeight="false" outlineLevel="0" collapsed="false">
      <c r="A17" s="3" t="s">
        <v>22</v>
      </c>
      <c r="B17" s="4" t="n">
        <f aca="false">COUNTA('Live Scenarios'!A2:A28)</f>
        <v>27</v>
      </c>
    </row>
    <row r="18" customFormat="false" ht="15" hidden="false" customHeight="false" outlineLevel="0" collapsed="false">
      <c r="A18" s="3" t="s">
        <v>23</v>
      </c>
      <c r="B18" s="4" t="n">
        <f aca="false">COUNTIF('Live Scenarios'!C2:C28,"Fail")</f>
        <v>13</v>
      </c>
      <c r="C18" s="5" t="s">
        <v>24</v>
      </c>
    </row>
    <row r="19" customFormat="false" ht="15" hidden="false" customHeight="false" outlineLevel="0" collapsed="false">
      <c r="A19" s="3" t="s">
        <v>25</v>
      </c>
      <c r="B19" s="4" t="n">
        <f aca="false">COUNTIF('Live Scenarios'!E2:E28,"Pass")</f>
        <v>27</v>
      </c>
      <c r="C19" s="5" t="s">
        <v>26</v>
      </c>
    </row>
    <row r="20" customFormat="false" ht="15" hidden="false" customHeight="false" outlineLevel="0" collapsed="false">
      <c r="A20" s="3" t="s">
        <v>27</v>
      </c>
      <c r="B20" s="7" t="n">
        <f aca="false">IFERROR(B19/B17,0)</f>
        <v>1</v>
      </c>
    </row>
    <row r="21" customFormat="false" ht="15" hidden="false" customHeight="false" outlineLevel="0" collapsed="false">
      <c r="A21" s="3" t="s">
        <v>28</v>
      </c>
      <c r="B21" s="8" t="n">
        <f aca="false">'Test Methods'!C4</f>
        <v>72000</v>
      </c>
      <c r="C21" s="5" t="s">
        <v>29</v>
      </c>
    </row>
    <row r="22" customFormat="false" ht="15" hidden="false" customHeight="false" outlineLevel="0" collapsed="false">
      <c r="A22" s="3" t="s">
        <v>30</v>
      </c>
      <c r="B22" s="4" t="n">
        <f aca="false">'Test Methods'!C5</f>
        <v>25</v>
      </c>
    </row>
    <row r="24" customFormat="false" ht="15" hidden="false" customHeight="false" outlineLevel="0" collapsed="false">
      <c r="A24" s="3" t="s">
        <v>31</v>
      </c>
      <c r="B24" s="4" t="n">
        <f aca="false">COUNTA('Security Review'!A2:A18)</f>
        <v>17</v>
      </c>
    </row>
    <row r="25" customFormat="false" ht="15" hidden="false" customHeight="false" outlineLevel="0" collapsed="false">
      <c r="A25" s="3" t="s">
        <v>32</v>
      </c>
      <c r="B25" s="4" t="n">
        <f aca="false">COUNTIF('Security Review'!F2:F18,"Fixed")</f>
        <v>11</v>
      </c>
      <c r="C25" s="5" t="s">
        <v>33</v>
      </c>
    </row>
    <row r="26" customFormat="false" ht="15" hidden="false" customHeight="false" outlineLevel="0" collapsed="false">
      <c r="A26" s="3" t="s">
        <v>34</v>
      </c>
      <c r="B26" s="4" t="n">
        <f aca="false">COUNTIF('Security Review'!F2:F18,"Passed")</f>
        <v>6</v>
      </c>
    </row>
    <row r="27" customFormat="false" ht="15" hidden="false" customHeight="false" outlineLevel="0" collapsed="false">
      <c r="A27" s="3" t="s">
        <v>35</v>
      </c>
      <c r="B27" s="4" t="n">
        <f aca="false">COUNTIF('Security Review'!F2:F18,"Open")</f>
        <v>0</v>
      </c>
    </row>
    <row r="29" customFormat="false" ht="15" hidden="false" customHeight="false" outlineLevel="0" collapsed="false">
      <c r="A29" s="9" t="s">
        <v>36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46"/>
    <col collapsed="false" customWidth="true" hidden="false" outlineLevel="0" max="3" min="3" style="0" width="11"/>
    <col collapsed="false" customWidth="true" hidden="false" outlineLevel="0" max="4" min="4" style="0" width="22"/>
    <col collapsed="false" customWidth="true" hidden="false" outlineLevel="0" max="5" min="5" style="0" width="42"/>
    <col collapsed="false" customWidth="true" hidden="false" outlineLevel="0" max="6" min="6" style="0" width="48"/>
    <col collapsed="false" customWidth="true" hidden="false" outlineLevel="0" max="7" min="7" style="0" width="16"/>
    <col collapsed="false" customWidth="true" hidden="false" outlineLevel="0" max="8" min="8" style="0" width="10"/>
  </cols>
  <sheetData>
    <row r="1" customFormat="false" ht="15" hidden="false" customHeight="false" outlineLevel="0" collapsed="false">
      <c r="A1" s="10" t="s">
        <v>37</v>
      </c>
      <c r="B1" s="10" t="s">
        <v>38</v>
      </c>
      <c r="C1" s="10" t="s">
        <v>39</v>
      </c>
      <c r="D1" s="10" t="s">
        <v>40</v>
      </c>
      <c r="E1" s="10" t="s">
        <v>41</v>
      </c>
      <c r="F1" s="10" t="s">
        <v>42</v>
      </c>
      <c r="G1" s="10" t="s">
        <v>43</v>
      </c>
      <c r="H1" s="10" t="s">
        <v>44</v>
      </c>
    </row>
    <row r="2" customFormat="false" ht="23.85" hidden="false" customHeight="false" outlineLevel="0" collapsed="false">
      <c r="A2" s="11" t="s">
        <v>45</v>
      </c>
      <c r="B2" s="11" t="s">
        <v>46</v>
      </c>
      <c r="C2" s="11" t="s">
        <v>8</v>
      </c>
      <c r="D2" s="11" t="s">
        <v>47</v>
      </c>
      <c r="E2" s="11" t="s">
        <v>48</v>
      </c>
      <c r="F2" s="11" t="s">
        <v>49</v>
      </c>
      <c r="G2" s="11" t="s">
        <v>50</v>
      </c>
      <c r="H2" s="11" t="s">
        <v>51</v>
      </c>
    </row>
    <row r="3" customFormat="false" ht="23.85" hidden="false" customHeight="false" outlineLevel="0" collapsed="false">
      <c r="A3" s="11" t="s">
        <v>52</v>
      </c>
      <c r="B3" s="11" t="s">
        <v>53</v>
      </c>
      <c r="C3" s="11" t="s">
        <v>8</v>
      </c>
      <c r="D3" s="11" t="s">
        <v>54</v>
      </c>
      <c r="E3" s="11" t="s">
        <v>55</v>
      </c>
      <c r="F3" s="11" t="s">
        <v>56</v>
      </c>
      <c r="G3" s="11" t="s">
        <v>57</v>
      </c>
      <c r="H3" s="11" t="s">
        <v>51</v>
      </c>
    </row>
    <row r="4" customFormat="false" ht="23.85" hidden="false" customHeight="false" outlineLevel="0" collapsed="false">
      <c r="A4" s="11" t="s">
        <v>58</v>
      </c>
      <c r="B4" s="11" t="s">
        <v>59</v>
      </c>
      <c r="C4" s="11" t="s">
        <v>8</v>
      </c>
      <c r="D4" s="11" t="s">
        <v>60</v>
      </c>
      <c r="E4" s="11" t="s">
        <v>61</v>
      </c>
      <c r="F4" s="11" t="s">
        <v>62</v>
      </c>
      <c r="G4" s="11" t="s">
        <v>63</v>
      </c>
      <c r="H4" s="11" t="s">
        <v>51</v>
      </c>
    </row>
    <row r="5" customFormat="false" ht="23.85" hidden="false" customHeight="false" outlineLevel="0" collapsed="false">
      <c r="A5" s="11" t="s">
        <v>64</v>
      </c>
      <c r="B5" s="11" t="s">
        <v>65</v>
      </c>
      <c r="C5" s="11" t="s">
        <v>10</v>
      </c>
      <c r="D5" s="11" t="s">
        <v>66</v>
      </c>
      <c r="E5" s="11" t="s">
        <v>67</v>
      </c>
      <c r="F5" s="11" t="s">
        <v>68</v>
      </c>
      <c r="G5" s="11" t="s">
        <v>69</v>
      </c>
      <c r="H5" s="11" t="s">
        <v>51</v>
      </c>
    </row>
    <row r="6" customFormat="false" ht="23.85" hidden="false" customHeight="false" outlineLevel="0" collapsed="false">
      <c r="A6" s="11" t="s">
        <v>70</v>
      </c>
      <c r="B6" s="11" t="s">
        <v>71</v>
      </c>
      <c r="C6" s="11" t="s">
        <v>10</v>
      </c>
      <c r="D6" s="11" t="s">
        <v>72</v>
      </c>
      <c r="E6" s="11" t="s">
        <v>73</v>
      </c>
      <c r="F6" s="11" t="s">
        <v>74</v>
      </c>
      <c r="G6" s="11" t="s">
        <v>75</v>
      </c>
      <c r="H6" s="11" t="s">
        <v>51</v>
      </c>
    </row>
    <row r="7" customFormat="false" ht="23.85" hidden="false" customHeight="false" outlineLevel="0" collapsed="false">
      <c r="A7" s="11" t="s">
        <v>76</v>
      </c>
      <c r="B7" s="11" t="s">
        <v>77</v>
      </c>
      <c r="C7" s="11" t="s">
        <v>10</v>
      </c>
      <c r="D7" s="11" t="s">
        <v>78</v>
      </c>
      <c r="E7" s="11" t="s">
        <v>79</v>
      </c>
      <c r="F7" s="11" t="s">
        <v>80</v>
      </c>
      <c r="G7" s="11" t="s">
        <v>81</v>
      </c>
      <c r="H7" s="11" t="s">
        <v>51</v>
      </c>
    </row>
    <row r="8" customFormat="false" ht="23.85" hidden="false" customHeight="false" outlineLevel="0" collapsed="false">
      <c r="A8" s="11" t="s">
        <v>82</v>
      </c>
      <c r="B8" s="11" t="s">
        <v>83</v>
      </c>
      <c r="C8" s="11" t="s">
        <v>10</v>
      </c>
      <c r="D8" s="11" t="s">
        <v>84</v>
      </c>
      <c r="E8" s="11" t="s">
        <v>85</v>
      </c>
      <c r="F8" s="11" t="s">
        <v>86</v>
      </c>
      <c r="G8" s="11" t="s">
        <v>87</v>
      </c>
      <c r="H8" s="11" t="s">
        <v>51</v>
      </c>
    </row>
    <row r="9" customFormat="false" ht="23.85" hidden="false" customHeight="false" outlineLevel="0" collapsed="false">
      <c r="A9" s="11" t="s">
        <v>88</v>
      </c>
      <c r="B9" s="11" t="s">
        <v>89</v>
      </c>
      <c r="C9" s="11" t="s">
        <v>12</v>
      </c>
      <c r="D9" s="11" t="s">
        <v>90</v>
      </c>
      <c r="E9" s="11" t="s">
        <v>91</v>
      </c>
      <c r="F9" s="11" t="s">
        <v>92</v>
      </c>
      <c r="G9" s="11" t="s">
        <v>93</v>
      </c>
      <c r="H9" s="11" t="s">
        <v>51</v>
      </c>
    </row>
    <row r="10" customFormat="false" ht="23.85" hidden="false" customHeight="false" outlineLevel="0" collapsed="false">
      <c r="A10" s="11" t="s">
        <v>94</v>
      </c>
      <c r="B10" s="11" t="s">
        <v>95</v>
      </c>
      <c r="C10" s="11" t="s">
        <v>14</v>
      </c>
      <c r="D10" s="11" t="s">
        <v>96</v>
      </c>
      <c r="E10" s="11" t="s">
        <v>97</v>
      </c>
      <c r="F10" s="11" t="s">
        <v>98</v>
      </c>
      <c r="G10" s="11" t="s">
        <v>99</v>
      </c>
      <c r="H10" s="11" t="s">
        <v>51</v>
      </c>
    </row>
    <row r="11" customFormat="false" ht="23.85" hidden="false" customHeight="false" outlineLevel="0" collapsed="false">
      <c r="A11" s="11" t="s">
        <v>100</v>
      </c>
      <c r="B11" s="11" t="s">
        <v>101</v>
      </c>
      <c r="C11" s="11" t="s">
        <v>16</v>
      </c>
      <c r="D11" s="11" t="s">
        <v>102</v>
      </c>
      <c r="E11" s="11" t="s">
        <v>103</v>
      </c>
      <c r="F11" s="11" t="s">
        <v>104</v>
      </c>
      <c r="G11" s="11" t="s">
        <v>105</v>
      </c>
      <c r="H11" s="11" t="s">
        <v>51</v>
      </c>
    </row>
    <row r="12" customFormat="false" ht="23.85" hidden="false" customHeight="false" outlineLevel="0" collapsed="false">
      <c r="A12" s="11" t="s">
        <v>106</v>
      </c>
      <c r="B12" s="11" t="s">
        <v>107</v>
      </c>
      <c r="C12" s="11" t="s">
        <v>18</v>
      </c>
      <c r="D12" s="11" t="s">
        <v>108</v>
      </c>
      <c r="E12" s="11" t="s">
        <v>109</v>
      </c>
      <c r="F12" s="11" t="s">
        <v>110</v>
      </c>
      <c r="G12" s="11" t="s">
        <v>111</v>
      </c>
      <c r="H12" s="11" t="s">
        <v>51</v>
      </c>
    </row>
    <row r="13" customFormat="false" ht="23.85" hidden="false" customHeight="false" outlineLevel="0" collapsed="false">
      <c r="A13" s="11" t="s">
        <v>112</v>
      </c>
      <c r="B13" s="11" t="s">
        <v>113</v>
      </c>
      <c r="C13" s="11" t="s">
        <v>18</v>
      </c>
      <c r="D13" s="11" t="s">
        <v>114</v>
      </c>
      <c r="E13" s="11" t="s">
        <v>115</v>
      </c>
      <c r="F13" s="11" t="s">
        <v>116</v>
      </c>
      <c r="G13" s="11" t="s">
        <v>117</v>
      </c>
      <c r="H13" s="11" t="s">
        <v>51</v>
      </c>
    </row>
    <row r="14" customFormat="false" ht="23.85" hidden="false" customHeight="false" outlineLevel="0" collapsed="false">
      <c r="A14" s="11" t="s">
        <v>118</v>
      </c>
      <c r="B14" s="11" t="s">
        <v>119</v>
      </c>
      <c r="C14" s="11" t="s">
        <v>18</v>
      </c>
      <c r="D14" s="11" t="s">
        <v>120</v>
      </c>
      <c r="E14" s="11" t="s">
        <v>121</v>
      </c>
      <c r="F14" s="11" t="s">
        <v>122</v>
      </c>
      <c r="G14" s="11" t="s">
        <v>123</v>
      </c>
      <c r="H14" s="11" t="s">
        <v>51</v>
      </c>
    </row>
    <row r="15" customFormat="false" ht="23.85" hidden="false" customHeight="false" outlineLevel="0" collapsed="false">
      <c r="A15" s="11" t="s">
        <v>124</v>
      </c>
      <c r="B15" s="11" t="s">
        <v>125</v>
      </c>
      <c r="C15" s="11" t="s">
        <v>20</v>
      </c>
      <c r="D15" s="11" t="s">
        <v>126</v>
      </c>
      <c r="E15" s="11" t="s">
        <v>127</v>
      </c>
      <c r="F15" s="11" t="s">
        <v>128</v>
      </c>
      <c r="G15" s="11" t="s">
        <v>129</v>
      </c>
      <c r="H15" s="11" t="s">
        <v>51</v>
      </c>
    </row>
  </sheetData>
  <autoFilter ref="A1:H15"/>
  <conditionalFormatting sqref="C2:C15">
    <cfRule type="cellIs" priority="2" operator="equal" aboveAverage="0" equalAverage="0" bottom="0" percent="0" rank="0" text="" dxfId="6">
      <formula>"Crash"</formula>
    </cfRule>
    <cfRule type="cellIs" priority="3" operator="equal" aboveAverage="0" equalAverage="0" bottom="0" percent="0" rank="0" text="" dxfId="6">
      <formula>"Money"</formula>
    </cfRule>
    <cfRule type="cellIs" priority="4" operator="equal" aboveAverage="0" equalAverage="0" bottom="0" percent="0" rank="0" text="" dxfId="7">
      <formula>"Control"</formula>
    </cfRule>
  </conditionalFormatting>
  <conditionalFormatting sqref="H2:H15">
    <cfRule type="cellIs" priority="5" operator="equal" aboveAverage="0" equalAverage="0" bottom="0" percent="0" rank="0" text="" dxfId="8">
      <formula>"Fixed"</formula>
    </cfRule>
    <cfRule type="cellIs" priority="6" operator="equal" aboveAverage="0" equalAverage="0" bottom="0" percent="0" rank="0" text="" dxfId="6">
      <formula>"Open"</formula>
    </cfRule>
  </conditionalFormatting>
  <dataValidations count="1">
    <dataValidation allowBlank="true" errorStyle="stop" operator="between" showDropDown="false" showErrorMessage="false" showInputMessage="false" sqref="H2:H15" type="list">
      <formula1>"Fixed,Open,Won't fix"</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70"/>
    <col collapsed="false" customWidth="true" hidden="false" outlineLevel="0" max="4" min="3" style="0" width="16"/>
    <col collapsed="false" customWidth="true" hidden="false" outlineLevel="0" max="5" min="5" style="0" width="11"/>
  </cols>
  <sheetData>
    <row r="1" customFormat="false" ht="15" hidden="false" customHeight="false" outlineLevel="0" collapsed="false">
      <c r="A1" s="10" t="s">
        <v>130</v>
      </c>
      <c r="B1" s="10" t="s">
        <v>131</v>
      </c>
      <c r="C1" s="10" t="s">
        <v>132</v>
      </c>
      <c r="D1" s="10" t="s">
        <v>133</v>
      </c>
      <c r="E1" s="10" t="s">
        <v>134</v>
      </c>
    </row>
    <row r="2" customFormat="false" ht="23.85" hidden="false" customHeight="false" outlineLevel="0" collapsed="false">
      <c r="A2" s="11" t="s">
        <v>135</v>
      </c>
      <c r="B2" s="11" t="s">
        <v>136</v>
      </c>
      <c r="C2" s="11" t="s">
        <v>137</v>
      </c>
      <c r="D2" s="11"/>
      <c r="E2" s="11" t="s">
        <v>137</v>
      </c>
    </row>
    <row r="3" customFormat="false" ht="15" hidden="false" customHeight="false" outlineLevel="0" collapsed="false">
      <c r="A3" s="11" t="s">
        <v>138</v>
      </c>
      <c r="B3" s="11" t="s">
        <v>139</v>
      </c>
      <c r="C3" s="11" t="s">
        <v>137</v>
      </c>
      <c r="D3" s="11"/>
      <c r="E3" s="11" t="s">
        <v>137</v>
      </c>
    </row>
    <row r="4" customFormat="false" ht="15" hidden="false" customHeight="false" outlineLevel="0" collapsed="false">
      <c r="A4" s="11" t="s">
        <v>140</v>
      </c>
      <c r="B4" s="11" t="s">
        <v>141</v>
      </c>
      <c r="C4" s="11" t="s">
        <v>137</v>
      </c>
      <c r="D4" s="11"/>
      <c r="E4" s="11" t="s">
        <v>137</v>
      </c>
    </row>
    <row r="5" customFormat="false" ht="15" hidden="false" customHeight="false" outlineLevel="0" collapsed="false">
      <c r="A5" s="11" t="s">
        <v>142</v>
      </c>
      <c r="B5" s="11" t="s">
        <v>143</v>
      </c>
      <c r="C5" s="11" t="s">
        <v>144</v>
      </c>
      <c r="D5" s="11" t="s">
        <v>45</v>
      </c>
      <c r="E5" s="11" t="s">
        <v>137</v>
      </c>
    </row>
    <row r="6" customFormat="false" ht="15" hidden="false" customHeight="false" outlineLevel="0" collapsed="false">
      <c r="A6" s="11" t="s">
        <v>145</v>
      </c>
      <c r="B6" s="11" t="s">
        <v>146</v>
      </c>
      <c r="C6" s="11" t="s">
        <v>144</v>
      </c>
      <c r="D6" s="11" t="s">
        <v>76</v>
      </c>
      <c r="E6" s="11" t="s">
        <v>137</v>
      </c>
    </row>
    <row r="7" customFormat="false" ht="15" hidden="false" customHeight="false" outlineLevel="0" collapsed="false">
      <c r="A7" s="11" t="s">
        <v>147</v>
      </c>
      <c r="B7" s="11" t="s">
        <v>148</v>
      </c>
      <c r="C7" s="11" t="s">
        <v>144</v>
      </c>
      <c r="D7" s="11" t="s">
        <v>82</v>
      </c>
      <c r="E7" s="11" t="s">
        <v>137</v>
      </c>
    </row>
    <row r="8" customFormat="false" ht="15" hidden="false" customHeight="false" outlineLevel="0" collapsed="false">
      <c r="A8" s="11" t="s">
        <v>149</v>
      </c>
      <c r="B8" s="11" t="s">
        <v>150</v>
      </c>
      <c r="C8" s="11" t="s">
        <v>144</v>
      </c>
      <c r="D8" s="11" t="s">
        <v>70</v>
      </c>
      <c r="E8" s="11" t="s">
        <v>137</v>
      </c>
    </row>
    <row r="9" customFormat="false" ht="15" hidden="false" customHeight="false" outlineLevel="0" collapsed="false">
      <c r="A9" s="11" t="s">
        <v>151</v>
      </c>
      <c r="B9" s="11" t="s">
        <v>152</v>
      </c>
      <c r="C9" s="11" t="s">
        <v>144</v>
      </c>
      <c r="D9" s="11" t="s">
        <v>94</v>
      </c>
      <c r="E9" s="11" t="s">
        <v>137</v>
      </c>
    </row>
    <row r="10" customFormat="false" ht="15" hidden="false" customHeight="false" outlineLevel="0" collapsed="false">
      <c r="A10" s="11" t="s">
        <v>153</v>
      </c>
      <c r="B10" s="11" t="s">
        <v>154</v>
      </c>
      <c r="C10" s="11" t="s">
        <v>144</v>
      </c>
      <c r="D10" s="11" t="s">
        <v>88</v>
      </c>
      <c r="E10" s="11" t="s">
        <v>137</v>
      </c>
    </row>
    <row r="11" customFormat="false" ht="15" hidden="false" customHeight="false" outlineLevel="0" collapsed="false">
      <c r="A11" s="11" t="s">
        <v>155</v>
      </c>
      <c r="B11" s="11" t="s">
        <v>156</v>
      </c>
      <c r="C11" s="11" t="s">
        <v>144</v>
      </c>
      <c r="D11" s="11" t="s">
        <v>52</v>
      </c>
      <c r="E11" s="11" t="s">
        <v>137</v>
      </c>
    </row>
    <row r="12" customFormat="false" ht="23.85" hidden="false" customHeight="false" outlineLevel="0" collapsed="false">
      <c r="A12" s="11" t="s">
        <v>157</v>
      </c>
      <c r="B12" s="11" t="s">
        <v>158</v>
      </c>
      <c r="C12" s="11" t="s">
        <v>144</v>
      </c>
      <c r="D12" s="11" t="s">
        <v>52</v>
      </c>
      <c r="E12" s="11" t="s">
        <v>137</v>
      </c>
    </row>
    <row r="13" customFormat="false" ht="15" hidden="false" customHeight="false" outlineLevel="0" collapsed="false">
      <c r="A13" s="11" t="s">
        <v>159</v>
      </c>
      <c r="B13" s="11" t="s">
        <v>160</v>
      </c>
      <c r="C13" s="11" t="s">
        <v>137</v>
      </c>
      <c r="D13" s="11"/>
      <c r="E13" s="11" t="s">
        <v>137</v>
      </c>
    </row>
    <row r="14" customFormat="false" ht="15" hidden="false" customHeight="false" outlineLevel="0" collapsed="false">
      <c r="A14" s="11" t="s">
        <v>161</v>
      </c>
      <c r="B14" s="11" t="s">
        <v>162</v>
      </c>
      <c r="C14" s="11" t="s">
        <v>137</v>
      </c>
      <c r="D14" s="11"/>
      <c r="E14" s="11" t="s">
        <v>137</v>
      </c>
    </row>
    <row r="15" customFormat="false" ht="15" hidden="false" customHeight="false" outlineLevel="0" collapsed="false">
      <c r="A15" s="11" t="s">
        <v>63</v>
      </c>
      <c r="B15" s="11" t="s">
        <v>163</v>
      </c>
      <c r="C15" s="11" t="s">
        <v>144</v>
      </c>
      <c r="D15" s="11" t="s">
        <v>58</v>
      </c>
      <c r="E15" s="11" t="s">
        <v>137</v>
      </c>
    </row>
    <row r="16" customFormat="false" ht="15" hidden="false" customHeight="false" outlineLevel="0" collapsed="false">
      <c r="A16" s="11" t="s">
        <v>164</v>
      </c>
      <c r="B16" s="11" t="s">
        <v>165</v>
      </c>
      <c r="C16" s="11" t="s">
        <v>144</v>
      </c>
      <c r="D16" s="11" t="s">
        <v>166</v>
      </c>
      <c r="E16" s="11" t="s">
        <v>137</v>
      </c>
    </row>
    <row r="17" customFormat="false" ht="15" hidden="false" customHeight="false" outlineLevel="0" collapsed="false">
      <c r="A17" s="11" t="s">
        <v>167</v>
      </c>
      <c r="B17" s="11" t="s">
        <v>168</v>
      </c>
      <c r="C17" s="11" t="s">
        <v>137</v>
      </c>
      <c r="D17" s="11"/>
      <c r="E17" s="11" t="s">
        <v>137</v>
      </c>
    </row>
    <row r="18" customFormat="false" ht="15" hidden="false" customHeight="false" outlineLevel="0" collapsed="false">
      <c r="A18" s="11" t="s">
        <v>169</v>
      </c>
      <c r="B18" s="11" t="s">
        <v>170</v>
      </c>
      <c r="C18" s="11" t="s">
        <v>137</v>
      </c>
      <c r="D18" s="11"/>
      <c r="E18" s="11" t="s">
        <v>137</v>
      </c>
    </row>
    <row r="19" customFormat="false" ht="15" hidden="false" customHeight="false" outlineLevel="0" collapsed="false">
      <c r="A19" s="11" t="s">
        <v>171</v>
      </c>
      <c r="B19" s="11" t="s">
        <v>172</v>
      </c>
      <c r="C19" s="11" t="s">
        <v>137</v>
      </c>
      <c r="D19" s="11"/>
      <c r="E19" s="11" t="s">
        <v>137</v>
      </c>
    </row>
    <row r="20" customFormat="false" ht="15" hidden="false" customHeight="false" outlineLevel="0" collapsed="false">
      <c r="A20" s="11" t="s">
        <v>173</v>
      </c>
      <c r="B20" s="11" t="s">
        <v>174</v>
      </c>
      <c r="C20" s="11" t="s">
        <v>137</v>
      </c>
      <c r="D20" s="11"/>
      <c r="E20" s="11" t="s">
        <v>137</v>
      </c>
    </row>
    <row r="21" customFormat="false" ht="15" hidden="false" customHeight="false" outlineLevel="0" collapsed="false">
      <c r="A21" s="11" t="s">
        <v>175</v>
      </c>
      <c r="B21" s="11" t="s">
        <v>176</v>
      </c>
      <c r="C21" s="11" t="s">
        <v>137</v>
      </c>
      <c r="D21" s="11"/>
      <c r="E21" s="11" t="s">
        <v>137</v>
      </c>
    </row>
    <row r="22" customFormat="false" ht="15" hidden="false" customHeight="false" outlineLevel="0" collapsed="false">
      <c r="A22" s="11" t="s">
        <v>117</v>
      </c>
      <c r="B22" s="11" t="s">
        <v>177</v>
      </c>
      <c r="C22" s="11" t="s">
        <v>144</v>
      </c>
      <c r="D22" s="11" t="s">
        <v>112</v>
      </c>
      <c r="E22" s="11" t="s">
        <v>137</v>
      </c>
    </row>
    <row r="23" customFormat="false" ht="15" hidden="false" customHeight="false" outlineLevel="0" collapsed="false">
      <c r="A23" s="11" t="s">
        <v>123</v>
      </c>
      <c r="B23" s="11" t="s">
        <v>178</v>
      </c>
      <c r="C23" s="11" t="s">
        <v>144</v>
      </c>
      <c r="D23" s="11" t="s">
        <v>118</v>
      </c>
      <c r="E23" s="11" t="s">
        <v>137</v>
      </c>
    </row>
    <row r="24" customFormat="false" ht="15" hidden="false" customHeight="false" outlineLevel="0" collapsed="false">
      <c r="A24" s="11" t="s">
        <v>179</v>
      </c>
      <c r="B24" s="11" t="s">
        <v>180</v>
      </c>
      <c r="C24" s="11" t="s">
        <v>144</v>
      </c>
      <c r="D24" s="11" t="s">
        <v>124</v>
      </c>
      <c r="E24" s="11" t="s">
        <v>137</v>
      </c>
    </row>
    <row r="25" customFormat="false" ht="15" hidden="false" customHeight="false" outlineLevel="0" collapsed="false">
      <c r="A25" s="11" t="s">
        <v>181</v>
      </c>
      <c r="B25" s="11" t="s">
        <v>182</v>
      </c>
      <c r="C25" s="11" t="s">
        <v>137</v>
      </c>
      <c r="D25" s="11"/>
      <c r="E25" s="11" t="s">
        <v>137</v>
      </c>
    </row>
    <row r="26" customFormat="false" ht="15" hidden="false" customHeight="false" outlineLevel="0" collapsed="false">
      <c r="A26" s="11" t="s">
        <v>183</v>
      </c>
      <c r="B26" s="11" t="s">
        <v>184</v>
      </c>
      <c r="C26" s="11" t="s">
        <v>137</v>
      </c>
      <c r="D26" s="11"/>
      <c r="E26" s="11" t="s">
        <v>137</v>
      </c>
    </row>
    <row r="27" customFormat="false" ht="15" hidden="false" customHeight="false" outlineLevel="0" collapsed="false">
      <c r="A27" s="11" t="s">
        <v>185</v>
      </c>
      <c r="B27" s="11" t="s">
        <v>186</v>
      </c>
      <c r="C27" s="11" t="s">
        <v>187</v>
      </c>
      <c r="D27" s="11" t="s">
        <v>64</v>
      </c>
      <c r="E27" s="11" t="s">
        <v>137</v>
      </c>
    </row>
    <row r="28" customFormat="false" ht="15" hidden="false" customHeight="false" outlineLevel="0" collapsed="false">
      <c r="A28" s="11" t="s">
        <v>188</v>
      </c>
      <c r="B28" s="11" t="s">
        <v>189</v>
      </c>
      <c r="C28" s="11" t="s">
        <v>187</v>
      </c>
      <c r="D28" s="11"/>
      <c r="E28" s="11" t="s">
        <v>137</v>
      </c>
    </row>
    <row r="30" customFormat="false" ht="15" hidden="false" customHeight="false" outlineLevel="0" collapsed="false">
      <c r="A30" s="9" t="s">
        <v>190</v>
      </c>
    </row>
  </sheetData>
  <autoFilter ref="A1:E28"/>
  <conditionalFormatting sqref="C2:C28">
    <cfRule type="cellIs" priority="2" operator="equal" aboveAverage="0" equalAverage="0" bottom="0" percent="0" rank="0" text="" dxfId="6">
      <formula>"Fail"</formula>
    </cfRule>
    <cfRule type="cellIs" priority="3" operator="equal" aboveAverage="0" equalAverage="0" bottom="0" percent="0" rank="0" text="" dxfId="8">
      <formula>"Pass"</formula>
    </cfRule>
  </conditionalFormatting>
  <conditionalFormatting sqref="E2:E28">
    <cfRule type="cellIs" priority="4" operator="equal" aboveAverage="0" equalAverage="0" bottom="0" percent="0" rank="0" text="" dxfId="8">
      <formula>"Pass"</formula>
    </cfRule>
    <cfRule type="cellIs" priority="5" operator="equal" aboveAverage="0" equalAverage="0" bottom="0" percent="0" rank="0" text="" dxfId="6">
      <formula>"Fail"</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62"/>
    <col collapsed="false" customWidth="true" hidden="false" outlineLevel="0" max="3" min="3" style="0" width="16"/>
    <col collapsed="false" customWidth="true" hidden="false" outlineLevel="0" max="4" min="4" style="0" width="62"/>
  </cols>
  <sheetData>
    <row r="1" customFormat="false" ht="15" hidden="false" customHeight="false" outlineLevel="0" collapsed="false">
      <c r="A1" s="10" t="s">
        <v>191</v>
      </c>
      <c r="B1" s="10" t="s">
        <v>192</v>
      </c>
      <c r="C1" s="10" t="s">
        <v>193</v>
      </c>
      <c r="D1" s="10" t="s">
        <v>194</v>
      </c>
    </row>
    <row r="2" customFormat="false" ht="23.85" hidden="false" customHeight="false" outlineLevel="0" collapsed="false">
      <c r="A2" s="11" t="s">
        <v>195</v>
      </c>
      <c r="B2" s="11" t="s">
        <v>196</v>
      </c>
      <c r="C2" s="11" t="n">
        <v>27</v>
      </c>
      <c r="D2" s="11" t="s">
        <v>197</v>
      </c>
    </row>
    <row r="3" customFormat="false" ht="15" hidden="false" customHeight="false" outlineLevel="0" collapsed="false">
      <c r="A3" s="11" t="s">
        <v>198</v>
      </c>
      <c r="B3" s="11" t="s">
        <v>199</v>
      </c>
      <c r="C3" s="11" t="s">
        <v>200</v>
      </c>
      <c r="D3" s="11" t="s">
        <v>201</v>
      </c>
    </row>
    <row r="4" customFormat="false" ht="23.85" hidden="false" customHeight="false" outlineLevel="0" collapsed="false">
      <c r="A4" s="11" t="s">
        <v>66</v>
      </c>
      <c r="B4" s="11" t="s">
        <v>202</v>
      </c>
      <c r="C4" s="11" t="n">
        <v>72000</v>
      </c>
      <c r="D4" s="11" t="s">
        <v>203</v>
      </c>
    </row>
    <row r="5" customFormat="false" ht="23.85" hidden="false" customHeight="false" outlineLevel="0" collapsed="false">
      <c r="A5" s="11" t="s">
        <v>204</v>
      </c>
      <c r="B5" s="11" t="s">
        <v>205</v>
      </c>
      <c r="C5" s="11" t="n">
        <v>25</v>
      </c>
      <c r="D5" s="11" t="s">
        <v>206</v>
      </c>
    </row>
    <row r="6" customFormat="false" ht="35.05" hidden="false" customHeight="false" outlineLevel="0" collapsed="false">
      <c r="A6" s="11" t="s">
        <v>207</v>
      </c>
      <c r="B6" s="11" t="s">
        <v>208</v>
      </c>
      <c r="C6" s="11" t="n">
        <v>20</v>
      </c>
      <c r="D6" s="11" t="s">
        <v>209</v>
      </c>
    </row>
    <row r="7" customFormat="false" ht="15" hidden="false" customHeight="false" outlineLevel="0" collapsed="false">
      <c r="A7" s="11" t="s">
        <v>210</v>
      </c>
      <c r="B7" s="11" t="s">
        <v>211</v>
      </c>
      <c r="C7" s="11" t="n">
        <v>3</v>
      </c>
      <c r="D7" s="11" t="s">
        <v>212</v>
      </c>
    </row>
  </sheetData>
  <autoFilter ref="A1:D7"/>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20"/>
    <col collapsed="false" customWidth="true" hidden="false" outlineLevel="0" max="3" min="3" style="0" width="60"/>
    <col collapsed="false" customWidth="true" hidden="false" outlineLevel="0" max="4" min="4" style="0" width="9"/>
    <col collapsed="false" customWidth="true" hidden="false" outlineLevel="0" max="5" min="5" style="0" width="58"/>
    <col collapsed="false" customWidth="true" hidden="false" outlineLevel="0" max="6" min="6" style="0" width="10"/>
  </cols>
  <sheetData>
    <row r="1" customFormat="false" ht="15" hidden="false" customHeight="false" outlineLevel="0" collapsed="false">
      <c r="A1" s="10" t="s">
        <v>213</v>
      </c>
      <c r="B1" s="10" t="s">
        <v>214</v>
      </c>
      <c r="C1" s="10" t="s">
        <v>215</v>
      </c>
      <c r="D1" s="10" t="s">
        <v>216</v>
      </c>
      <c r="E1" s="10" t="s">
        <v>217</v>
      </c>
      <c r="F1" s="10" t="s">
        <v>44</v>
      </c>
    </row>
    <row r="2" customFormat="false" ht="23.85" hidden="false" customHeight="false" outlineLevel="0" collapsed="false">
      <c r="A2" s="11" t="s">
        <v>218</v>
      </c>
      <c r="B2" s="11" t="s">
        <v>219</v>
      </c>
      <c r="C2" s="11" t="s">
        <v>220</v>
      </c>
      <c r="D2" s="11" t="s">
        <v>221</v>
      </c>
      <c r="E2" s="11" t="s">
        <v>222</v>
      </c>
      <c r="F2" s="11" t="s">
        <v>51</v>
      </c>
    </row>
    <row r="3" customFormat="false" ht="23.85" hidden="false" customHeight="false" outlineLevel="0" collapsed="false">
      <c r="A3" s="11" t="s">
        <v>223</v>
      </c>
      <c r="B3" s="11" t="s">
        <v>224</v>
      </c>
      <c r="C3" s="11" t="s">
        <v>225</v>
      </c>
      <c r="D3" s="11" t="s">
        <v>221</v>
      </c>
      <c r="E3" s="11" t="s">
        <v>226</v>
      </c>
      <c r="F3" s="11" t="s">
        <v>51</v>
      </c>
    </row>
    <row r="4" customFormat="false" ht="23.85" hidden="false" customHeight="false" outlineLevel="0" collapsed="false">
      <c r="A4" s="11" t="s">
        <v>227</v>
      </c>
      <c r="B4" s="11" t="s">
        <v>228</v>
      </c>
      <c r="C4" s="11" t="s">
        <v>229</v>
      </c>
      <c r="D4" s="11" t="s">
        <v>221</v>
      </c>
      <c r="E4" s="11" t="s">
        <v>230</v>
      </c>
      <c r="F4" s="11" t="s">
        <v>51</v>
      </c>
    </row>
    <row r="5" customFormat="false" ht="23.85" hidden="false" customHeight="false" outlineLevel="0" collapsed="false">
      <c r="A5" s="11" t="s">
        <v>231</v>
      </c>
      <c r="B5" s="11" t="s">
        <v>232</v>
      </c>
      <c r="C5" s="11" t="s">
        <v>233</v>
      </c>
      <c r="D5" s="11" t="s">
        <v>221</v>
      </c>
      <c r="E5" s="11" t="s">
        <v>234</v>
      </c>
      <c r="F5" s="11" t="s">
        <v>51</v>
      </c>
    </row>
    <row r="6" customFormat="false" ht="23.85" hidden="false" customHeight="false" outlineLevel="0" collapsed="false">
      <c r="A6" s="11" t="s">
        <v>235</v>
      </c>
      <c r="B6" s="11" t="s">
        <v>236</v>
      </c>
      <c r="C6" s="11" t="s">
        <v>237</v>
      </c>
      <c r="D6" s="11" t="s">
        <v>238</v>
      </c>
      <c r="E6" s="11" t="s">
        <v>239</v>
      </c>
      <c r="F6" s="11" t="s">
        <v>51</v>
      </c>
    </row>
    <row r="7" customFormat="false" ht="15" hidden="false" customHeight="false" outlineLevel="0" collapsed="false">
      <c r="A7" s="11" t="s">
        <v>240</v>
      </c>
      <c r="B7" s="11" t="s">
        <v>241</v>
      </c>
      <c r="C7" s="11" t="s">
        <v>242</v>
      </c>
      <c r="D7" s="11" t="s">
        <v>238</v>
      </c>
      <c r="E7" s="11" t="s">
        <v>243</v>
      </c>
      <c r="F7" s="11" t="s">
        <v>51</v>
      </c>
    </row>
    <row r="8" customFormat="false" ht="23.85" hidden="false" customHeight="false" outlineLevel="0" collapsed="false">
      <c r="A8" s="11" t="s">
        <v>244</v>
      </c>
      <c r="B8" s="11" t="s">
        <v>245</v>
      </c>
      <c r="C8" s="11" t="s">
        <v>246</v>
      </c>
      <c r="D8" s="11" t="s">
        <v>238</v>
      </c>
      <c r="E8" s="11" t="s">
        <v>247</v>
      </c>
      <c r="F8" s="11" t="s">
        <v>51</v>
      </c>
    </row>
    <row r="9" customFormat="false" ht="15" hidden="false" customHeight="false" outlineLevel="0" collapsed="false">
      <c r="A9" s="11" t="s">
        <v>248</v>
      </c>
      <c r="B9" s="11" t="s">
        <v>245</v>
      </c>
      <c r="C9" s="11" t="s">
        <v>249</v>
      </c>
      <c r="D9" s="11" t="s">
        <v>250</v>
      </c>
      <c r="E9" s="11" t="s">
        <v>251</v>
      </c>
      <c r="F9" s="11" t="s">
        <v>51</v>
      </c>
    </row>
    <row r="10" customFormat="false" ht="23.85" hidden="false" customHeight="false" outlineLevel="0" collapsed="false">
      <c r="A10" s="11" t="s">
        <v>252</v>
      </c>
      <c r="B10" s="11" t="s">
        <v>253</v>
      </c>
      <c r="C10" s="11" t="s">
        <v>254</v>
      </c>
      <c r="D10" s="11" t="s">
        <v>238</v>
      </c>
      <c r="E10" s="11" t="s">
        <v>255</v>
      </c>
      <c r="F10" s="11" t="s">
        <v>51</v>
      </c>
    </row>
    <row r="11" customFormat="false" ht="23.85" hidden="false" customHeight="false" outlineLevel="0" collapsed="false">
      <c r="A11" s="11" t="s">
        <v>256</v>
      </c>
      <c r="B11" s="11" t="s">
        <v>257</v>
      </c>
      <c r="C11" s="11" t="s">
        <v>258</v>
      </c>
      <c r="D11" s="11" t="s">
        <v>250</v>
      </c>
      <c r="E11" s="11" t="s">
        <v>259</v>
      </c>
      <c r="F11" s="11" t="s">
        <v>51</v>
      </c>
    </row>
    <row r="12" customFormat="false" ht="23.85" hidden="false" customHeight="false" outlineLevel="0" collapsed="false">
      <c r="A12" s="11" t="s">
        <v>260</v>
      </c>
      <c r="B12" s="11" t="s">
        <v>261</v>
      </c>
      <c r="C12" s="11" t="s">
        <v>262</v>
      </c>
      <c r="D12" s="11" t="s">
        <v>238</v>
      </c>
      <c r="E12" s="11" t="s">
        <v>263</v>
      </c>
      <c r="F12" s="11" t="s">
        <v>51</v>
      </c>
    </row>
    <row r="13" customFormat="false" ht="15" hidden="false" customHeight="false" outlineLevel="0" collapsed="false">
      <c r="A13" s="11" t="s">
        <v>264</v>
      </c>
      <c r="B13" s="11" t="s">
        <v>265</v>
      </c>
      <c r="C13" s="11" t="s">
        <v>266</v>
      </c>
      <c r="D13" s="11" t="s">
        <v>267</v>
      </c>
      <c r="E13" s="11" t="s">
        <v>268</v>
      </c>
      <c r="F13" s="11" t="s">
        <v>269</v>
      </c>
    </row>
    <row r="14" customFormat="false" ht="15" hidden="false" customHeight="false" outlineLevel="0" collapsed="false">
      <c r="A14" s="11" t="s">
        <v>270</v>
      </c>
      <c r="B14" s="11" t="s">
        <v>271</v>
      </c>
      <c r="C14" s="11" t="s">
        <v>272</v>
      </c>
      <c r="D14" s="11" t="s">
        <v>267</v>
      </c>
      <c r="E14" s="11" t="s">
        <v>273</v>
      </c>
      <c r="F14" s="11" t="s">
        <v>269</v>
      </c>
    </row>
    <row r="15" customFormat="false" ht="15" hidden="false" customHeight="false" outlineLevel="0" collapsed="false">
      <c r="A15" s="11" t="s">
        <v>274</v>
      </c>
      <c r="B15" s="11" t="s">
        <v>219</v>
      </c>
      <c r="C15" s="11" t="s">
        <v>275</v>
      </c>
      <c r="D15" s="11" t="s">
        <v>267</v>
      </c>
      <c r="E15" s="11" t="s">
        <v>276</v>
      </c>
      <c r="F15" s="11" t="s">
        <v>269</v>
      </c>
    </row>
    <row r="16" customFormat="false" ht="15" hidden="false" customHeight="false" outlineLevel="0" collapsed="false">
      <c r="A16" s="11" t="s">
        <v>277</v>
      </c>
      <c r="B16" s="11" t="s">
        <v>278</v>
      </c>
      <c r="C16" s="11" t="s">
        <v>279</v>
      </c>
      <c r="D16" s="11" t="s">
        <v>267</v>
      </c>
      <c r="E16" s="11" t="s">
        <v>280</v>
      </c>
      <c r="F16" s="11" t="s">
        <v>269</v>
      </c>
    </row>
    <row r="17" customFormat="false" ht="15" hidden="false" customHeight="false" outlineLevel="0" collapsed="false">
      <c r="A17" s="11" t="s">
        <v>281</v>
      </c>
      <c r="B17" s="11" t="s">
        <v>282</v>
      </c>
      <c r="C17" s="11" t="s">
        <v>283</v>
      </c>
      <c r="D17" s="11" t="s">
        <v>267</v>
      </c>
      <c r="E17" s="11" t="s">
        <v>284</v>
      </c>
      <c r="F17" s="11" t="s">
        <v>269</v>
      </c>
    </row>
    <row r="18" customFormat="false" ht="15" hidden="false" customHeight="false" outlineLevel="0" collapsed="false">
      <c r="A18" s="11" t="s">
        <v>285</v>
      </c>
      <c r="B18" s="11" t="s">
        <v>286</v>
      </c>
      <c r="C18" s="11" t="s">
        <v>287</v>
      </c>
      <c r="D18" s="11" t="s">
        <v>267</v>
      </c>
      <c r="E18" s="11" t="s">
        <v>288</v>
      </c>
      <c r="F18" s="11" t="s">
        <v>269</v>
      </c>
    </row>
    <row r="20" customFormat="false" ht="15" hidden="false" customHeight="false" outlineLevel="0" collapsed="false">
      <c r="A20" s="9" t="s">
        <v>289</v>
      </c>
    </row>
  </sheetData>
  <autoFilter ref="A1:F18"/>
  <conditionalFormatting sqref="D2:D18">
    <cfRule type="cellIs" priority="2" operator="equal" aboveAverage="0" equalAverage="0" bottom="0" percent="0" rank="0" text="" dxfId="6">
      <formula>"High"</formula>
    </cfRule>
    <cfRule type="cellIs" priority="3" operator="equal" aboveAverage="0" equalAverage="0" bottom="0" percent="0" rank="0" text="" dxfId="7">
      <formula>"Medium"</formula>
    </cfRule>
  </conditionalFormatting>
  <conditionalFormatting sqref="F2:F18">
    <cfRule type="cellIs" priority="4" operator="equal" aboveAverage="0" equalAverage="0" bottom="0" percent="0" rank="0" text="" dxfId="8">
      <formula>"Fixed"</formula>
    </cfRule>
    <cfRule type="cellIs" priority="5" operator="equal" aboveAverage="0" equalAverage="0" bottom="0" percent="0" rank="0" text="" dxfId="8">
      <formula>"Passed"</formula>
    </cfRule>
  </conditionalFormatting>
  <dataValidations count="1">
    <dataValidation allowBlank="true" errorStyle="stop" operator="between" showDropDown="false" showErrorMessage="false" showInputMessage="false" sqref="F2:F18" type="list">
      <formula1>"Fixed,Passed,Open"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2026-10-27T10:01:57Z</dcterms:created>
  <dc:creator>openpyxl</dc:creator>
  <dc:description/>
  <dc:language>en-US</dc:language>
  <cp:lastModifiedBy/>
  <dcterms:modified xsi:type="dcterms:W3CDTF">2026-10-27T10:01:57Z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