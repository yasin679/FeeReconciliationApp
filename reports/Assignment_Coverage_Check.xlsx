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verage" sheetId="2" state="visible" r:id="rId4"/>
    <sheet name="Product gaps" sheetId="3" state="visible" r:id="rId5"/>
    <sheet name="Submission plan" sheetId="4" state="visible" r:id="rId6"/>
  </sheets>
  <definedNames>
    <definedName function="false" hidden="true" localSheetId="1" name="_xlnm._FilterDatabase" vbProcedure="false">Coverage!$A$1:$F$14</definedName>
    <definedName function="false" hidden="true" localSheetId="2" name="_xlnm._FilterDatabase" vbProcedure="false">'Product gaps'!$A$1:$D$5</definedName>
    <definedName function="false" hidden="true" localSheetId="3" name="_xlnm._FilterDatabase" vbProcedure="false">'Submission plan'!$A$1:$D$5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<sst xmlns="http://schemas.openxmlformats.org/spreadsheetml/2006/main" count="132" uniqueCount="97">
  <si>
    <t xml:space="preserve">Assignment coverage check</t>
  </si>
  <si>
    <t xml:space="preserve">Fee Reconciliation Desk vs Fee Reconciliation Workbench · 27 Oct 2026</t>
  </si>
  <si>
    <t xml:space="preserve">Status</t>
  </si>
  <si>
    <t xml:space="preserve">Desk (app)</t>
  </si>
  <si>
    <t xml:space="preserve">Workbench</t>
  </si>
  <si>
    <t xml:space="preserve">Yes</t>
  </si>
  <si>
    <t xml:space="preserve">Partly</t>
  </si>
  <si>
    <t xml:space="preserve">No</t>
  </si>
  <si>
    <t xml:space="preserve">Total requirements</t>
  </si>
  <si>
    <t xml:space="preserve">Fully covered</t>
  </si>
  <si>
    <t xml:space="preserve">Missing from both: the 8–10 slide deck (§12).</t>
  </si>
  <si>
    <t xml:space="preserve">Green numbers count the Coverage tab; change a status there and the summary updates.</t>
  </si>
  <si>
    <t xml:space="preserve">Section</t>
  </si>
  <si>
    <t xml:space="preserve">Requirement</t>
  </si>
  <si>
    <t xml:space="preserve">Fee Reconciliation Desk (C# app)</t>
  </si>
  <si>
    <t xml:space="preserve">Desk notes</t>
  </si>
  <si>
    <t xml:space="preserve">Fee Reconciliation Workbench (prototype)</t>
  </si>
  <si>
    <t xml:space="preserve">Workbench notes</t>
  </si>
  <si>
    <t xml:space="preserve">§3</t>
  </si>
  <si>
    <t xml:space="preserve">Gap analysis: 10+ gaps in six categories, blockers flagged</t>
  </si>
  <si>
    <t xml:space="preserve">Not included (assignment pages removed from the generic product)</t>
  </si>
  <si>
    <t xml:space="preserve">15 gaps, 11 marked as blockers before engineering</t>
  </si>
  <si>
    <t xml:space="preserve">§5</t>
  </si>
  <si>
    <t xml:space="preserve">All nine payments: auto vs manual, duplicate, split, cash, reversal, what is missing, what cannot be concluded</t>
  </si>
  <si>
    <t xml:space="preserve">Each one handled live</t>
  </si>
  <si>
    <t xml:space="preserve">Live, plus a written decision table</t>
  </si>
  <si>
    <t xml:space="preserve">How wrong balances and duplicate receipts are prevented</t>
  </si>
  <si>
    <t xml:space="preserve">Enforced and tested</t>
  </si>
  <si>
    <t xml:space="preserve">Explained</t>
  </si>
  <si>
    <t xml:space="preserve">§6</t>
  </si>
  <si>
    <t xml:space="preserve">Student, Operations, Finance and Admin workflows</t>
  </si>
  <si>
    <t xml:space="preserve">Built, with real sign-in per role</t>
  </si>
  <si>
    <t xml:space="preserve">With a role switcher</t>
  </si>
  <si>
    <t xml:space="preserve">Behaviour for automatic, suspected, missing-details, multiple-payment and reversal cases</t>
  </si>
  <si>
    <t xml:space="preserve">Built and tested</t>
  </si>
  <si>
    <t xml:space="preserve">What is automatic and what needs a person</t>
  </si>
  <si>
    <t xml:space="preserve">Plus policy switches (AM-1, AA-1)</t>
  </si>
  <si>
    <t xml:space="preserve">Shown on each gate</t>
  </si>
  <si>
    <t xml:space="preserve">§7</t>
  </si>
  <si>
    <t xml:space="preserve">PRD content: rules, data fields, permissions, errors, acceptance criteria, metrics</t>
  </si>
  <si>
    <t xml:space="preserve">How it works page and the three guides</t>
  </si>
  <si>
    <t xml:space="preserve">Full PRD is the separate .docx</t>
  </si>
  <si>
    <t xml:space="preserve">§8</t>
  </si>
  <si>
    <t xml:space="preserve">Three screens: unmatched dashboard, student ledger, reconciliation detail</t>
  </si>
  <si>
    <t xml:space="preserve">Working screens rather than sketches</t>
  </si>
  <si>
    <t xml:space="preserve">Working screens</t>
  </si>
  <si>
    <t xml:space="preserve">§9</t>
  </si>
  <si>
    <t xml:space="preserve">APM feedback and coaching</t>
  </si>
  <si>
    <t xml:space="preserve">Not included</t>
  </si>
  <si>
    <t xml:space="preserve">Did well, five corrections, delegation, coaching plan</t>
  </si>
  <si>
    <t xml:space="preserve">§10</t>
  </si>
  <si>
    <t xml:space="preserve">Engineering questions, dependencies, release checklist</t>
  </si>
  <si>
    <t xml:space="preserve">Release Notes only</t>
  </si>
  <si>
    <t xml:space="preserve">Engineering and QA page</t>
  </si>
  <si>
    <t xml:space="preserve">At least 8 acceptance criteria and 6 test scenarios</t>
  </si>
  <si>
    <t xml:space="preserve">16 criteria, 27 self-tests</t>
  </si>
  <si>
    <t xml:space="preserve">16 criteria, 25 tests</t>
  </si>
  <si>
    <t xml:space="preserve">§11</t>
  </si>
  <si>
    <t xml:space="preserve">Founder update</t>
  </si>
  <si>
    <t xml:space="preserve">Illustrative Thursday update</t>
  </si>
  <si>
    <t xml:space="preserve">§12</t>
  </si>
  <si>
    <t xml:space="preserve">8–10 slides</t>
  </si>
  <si>
    <t xml:space="preserve">Missing</t>
  </si>
  <si>
    <t xml:space="preserve">Gap</t>
  </si>
  <si>
    <t xml:space="preserve">Detail</t>
  </si>
  <si>
    <t xml:space="preserve">Risk in interview</t>
  </si>
  <si>
    <t xml:space="preserve">Recommended action</t>
  </si>
  <si>
    <t xml:space="preserve">Student-management system integration</t>
  </si>
  <si>
    <t xml:space="preserve">The brief says the app integrates with the existing system. The app keeps its own ledger and only simulates a timeout from that system.</t>
  </si>
  <si>
    <t xml:space="preserve">Medium</t>
  </si>
  <si>
    <t xml:space="preserve">Defensible: the brief says production code is not needed. Prepare an answer on the posting contract and idempotency key.</t>
  </si>
  <si>
    <t xml:space="preserve">Refund payouts</t>
  </si>
  <si>
    <t xml:space="preserve">The Finance workflow mentions refunds. Reversals work fully; paying refunds is out of scope.</t>
  </si>
  <si>
    <t xml:space="preserve">Low</t>
  </si>
  <si>
    <t xml:space="preserve">Name it as a separate Finance process in the slides.</t>
  </si>
  <si>
    <t xml:space="preserve">Fee amounts</t>
  </si>
  <si>
    <t xml:space="preserve">The brief gives none. ₹25,000 admission and ₹1,20,000 tuition are used for every student, labelled illustrative.</t>
  </si>
  <si>
    <t xml:space="preserve">State the assumption on the data slide.</t>
  </si>
  <si>
    <t xml:space="preserve">Slide deck</t>
  </si>
  <si>
    <t xml:space="preserve">The format the brief explicitly asks for (8–10 slides) does not exist yet.</t>
  </si>
  <si>
    <t xml:space="preserve">High</t>
  </si>
  <si>
    <t xml:space="preserve">Build the deck from the decisions already made, with screenshots from the app.</t>
  </si>
  <si>
    <t xml:space="preserve">Order</t>
  </si>
  <si>
    <t xml:space="preserve">Item</t>
  </si>
  <si>
    <t xml:space="preserve">Why it is included</t>
  </si>
  <si>
    <t xml:space="preserve">Slide deck (8–10 slides)</t>
  </si>
  <si>
    <t xml:space="preserve">Still to be made</t>
  </si>
  <si>
    <t xml:space="preserve">The format the brief explicitly asks for</t>
  </si>
  <si>
    <t xml:space="preserve">PRD (.docx) and payment decision matrix (.xlsx)</t>
  </si>
  <si>
    <t xml:space="preserve">Ready (your files)</t>
  </si>
  <si>
    <t xml:space="preserve">Written requirements and the nine decisions</t>
  </si>
  <si>
    <t xml:space="preserve">Fee Reconciliation Workbench link</t>
  </si>
  <si>
    <t xml:space="preserve">Published</t>
  </si>
  <si>
    <t xml:space="preserve">Main evidence for gap analysis, APM feedback and founder update</t>
  </si>
  <si>
    <t xml:space="preserve">Fee Reconciliation Desk app (C#) and its three guides</t>
  </si>
  <si>
    <t xml:space="preserve">Published and packaged</t>
  </si>
  <si>
    <t xml:space="preserve">Proof the design works as a secure application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</si>
</sst>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6866"/>
      <name val="Arial"/>
      <family val="0"/>
      <charset val="1"/>
    </font>
    <font>
      <i val="true"/>
      <sz val="10"/>
      <color rgb="FF5367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AD2A2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686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EDE"/>
      </left>
      <right style="thin">
        <color rgb="FFD4DEDE"/>
      </right>
      <top style="thin">
        <color rgb="FFD4DEDE"/>
      </top>
      <bottom style="thin">
        <color rgb="FFD4DE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A68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F2E6"/>
          <bgColor rgb="FF000000"/>
        </patternFill>
      </fill>
    </dxf>
    <dxf>
      <fill>
        <patternFill patternType="solid">
          <fgColor rgb="FFFAE3E0"/>
          <bgColor rgb="FF000000"/>
        </patternFill>
      </fill>
    </dxf>
    <dxf>
      <fill>
        <patternFill patternType="solid">
          <fgColor rgb="FFFAEDD4"/>
          <bgColor rgb="FF000000"/>
        </patternFill>
      </fill>
    </dxf>
    <dxf>
      <fill>
        <patternFill>
          <bgColor rgb="FFE0F2E6"/>
        </patternFill>
      </fill>
    </dxf>
    <dxf>
      <fill>
        <patternFill>
          <bgColor rgb="FFFAEDD4"/>
        </patternFill>
      </fill>
    </dxf>
    <dxf>
      <fill>
        <patternFill>
          <bgColor rgb="FFFAE3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866"/>
      <rgbColor rgb="FFC0C0C0"/>
      <rgbColor rgb="FF808080"/>
      <rgbColor rgb="FF9999FF"/>
      <rgbColor rgb="FF993366"/>
      <rgbColor rgb="FFFAEDD4"/>
      <rgbColor rgb="FFE0F2E6"/>
      <rgbColor rgb="FF660066"/>
      <rgbColor rgb="FFFF8080"/>
      <rgbColor rgb="FF0066CC"/>
      <rgbColor rgb="FFD4DE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E3E0"/>
      <rgbColor rgb="FF3366FF"/>
      <rgbColor rgb="FF33CCCC"/>
      <rgbColor rgb="FF99CC00"/>
      <rgbColor rgb="FFFFCC00"/>
      <rgbColor rgb="FFFF9900"/>
      <rgbColor rgb="FFFF6600"/>
      <rgbColor rgb="FF536766"/>
      <rgbColor rgb="FF969696"/>
      <rgbColor rgb="FF003366"/>
      <rgbColor rgb="FF339966"/>
      <rgbColor rgb="FF003300"/>
      <rgbColor rgb="FF333300"/>
      <rgbColor rgb="FFAD2A2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COUNTIF(Coverage!C2:C14,A5)</f>
        <v>7</v>
      </c>
      <c r="C5" s="5" t="n">
        <f aca="false">COUNTIF(Coverage!E2:E14,A5)</f>
        <v>11</v>
      </c>
    </row>
    <row r="6" customFormat="false" ht="15" hidden="false" customHeight="false" outlineLevel="0" collapsed="false">
      <c r="A6" s="4" t="s">
        <v>6</v>
      </c>
      <c r="B6" s="5" t="n">
        <f aca="false">COUNTIF(Coverage!C2:C14,A6)</f>
        <v>2</v>
      </c>
      <c r="C6" s="5" t="n">
        <f aca="false">COUNTIF(Coverage!E2:E14,A6)</f>
        <v>1</v>
      </c>
    </row>
    <row r="7" customFormat="false" ht="15" hidden="false" customHeight="false" outlineLevel="0" collapsed="false">
      <c r="A7" s="4" t="s">
        <v>7</v>
      </c>
      <c r="B7" s="5" t="n">
        <f aca="false">COUNTIF(Coverage!C2:C14,A7)</f>
        <v>4</v>
      </c>
      <c r="C7" s="5" t="n">
        <f aca="false">COUNTIF(Coverage!E2:E14,A7)</f>
        <v>1</v>
      </c>
    </row>
    <row r="8" customFormat="false" ht="15" hidden="false" customHeight="false" outlineLevel="0" collapsed="false">
      <c r="A8" s="6" t="s">
        <v>8</v>
      </c>
      <c r="B8" s="7" t="n">
        <f aca="false">SUM(B5:B7)</f>
        <v>13</v>
      </c>
      <c r="C8" s="7" t="n">
        <f aca="false">SUM(C5:C7)</f>
        <v>13</v>
      </c>
    </row>
    <row r="9" customFormat="false" ht="15" hidden="false" customHeight="false" outlineLevel="0" collapsed="false">
      <c r="A9" s="6" t="s">
        <v>9</v>
      </c>
      <c r="B9" s="8" t="n">
        <f aca="false">IFERROR(B5/B8,0)</f>
        <v>0.538461538461538</v>
      </c>
      <c r="C9" s="8" t="n">
        <f aca="false">IFERROR(C5/C8,0)</f>
        <v>0.846153846153846</v>
      </c>
    </row>
    <row r="11" customFormat="false" ht="15" hidden="false" customHeight="false" outlineLevel="0" collapsed="false">
      <c r="A11" s="9" t="s">
        <v>10</v>
      </c>
    </row>
    <row r="12" customFormat="false" ht="15" hidden="false" customHeight="false" outlineLevel="0" collapsed="false">
      <c r="A12" s="1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46.25" hidden="false" customHeight="false" outlineLevel="0" collapsed="false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</row>
    <row r="2" customFormat="false" ht="23.85" hidden="false" customHeight="false" outlineLevel="0" collapsed="false">
      <c r="A2" s="12" t="s">
        <v>18</v>
      </c>
      <c r="B2" s="12" t="s">
        <v>19</v>
      </c>
      <c r="C2" s="12" t="s">
        <v>7</v>
      </c>
      <c r="D2" s="12" t="s">
        <v>20</v>
      </c>
      <c r="E2" s="12" t="s">
        <v>5</v>
      </c>
      <c r="F2" s="12" t="s">
        <v>21</v>
      </c>
    </row>
    <row r="3" customFormat="false" ht="23.85" hidden="false" customHeight="false" outlineLevel="0" collapsed="false">
      <c r="A3" s="12" t="s">
        <v>22</v>
      </c>
      <c r="B3" s="12" t="s">
        <v>23</v>
      </c>
      <c r="C3" s="12" t="s">
        <v>5</v>
      </c>
      <c r="D3" s="12" t="s">
        <v>24</v>
      </c>
      <c r="E3" s="12" t="s">
        <v>5</v>
      </c>
      <c r="F3" s="12" t="s">
        <v>25</v>
      </c>
    </row>
    <row r="4" customFormat="false" ht="15" hidden="false" customHeight="false" outlineLevel="0" collapsed="false">
      <c r="A4" s="12" t="s">
        <v>22</v>
      </c>
      <c r="B4" s="12" t="s">
        <v>26</v>
      </c>
      <c r="C4" s="12" t="s">
        <v>5</v>
      </c>
      <c r="D4" s="12" t="s">
        <v>27</v>
      </c>
      <c r="E4" s="12" t="s">
        <v>5</v>
      </c>
      <c r="F4" s="12" t="s">
        <v>28</v>
      </c>
    </row>
    <row r="5" customFormat="false" ht="15" hidden="false" customHeight="false" outlineLevel="0" collapsed="false">
      <c r="A5" s="12" t="s">
        <v>29</v>
      </c>
      <c r="B5" s="12" t="s">
        <v>30</v>
      </c>
      <c r="C5" s="12" t="s">
        <v>5</v>
      </c>
      <c r="D5" s="12" t="s">
        <v>31</v>
      </c>
      <c r="E5" s="12" t="s">
        <v>5</v>
      </c>
      <c r="F5" s="12" t="s">
        <v>32</v>
      </c>
    </row>
    <row r="6" customFormat="false" ht="23.85" hidden="false" customHeight="false" outlineLevel="0" collapsed="false">
      <c r="A6" s="12" t="s">
        <v>29</v>
      </c>
      <c r="B6" s="12" t="s">
        <v>33</v>
      </c>
      <c r="C6" s="12" t="s">
        <v>5</v>
      </c>
      <c r="D6" s="12" t="s">
        <v>34</v>
      </c>
      <c r="E6" s="12" t="s">
        <v>5</v>
      </c>
      <c r="F6" s="12" t="s">
        <v>34</v>
      </c>
    </row>
    <row r="7" customFormat="false" ht="15" hidden="false" customHeight="false" outlineLevel="0" collapsed="false">
      <c r="A7" s="12" t="s">
        <v>29</v>
      </c>
      <c r="B7" s="12" t="s">
        <v>35</v>
      </c>
      <c r="C7" s="12" t="s">
        <v>5</v>
      </c>
      <c r="D7" s="12" t="s">
        <v>36</v>
      </c>
      <c r="E7" s="12" t="s">
        <v>5</v>
      </c>
      <c r="F7" s="12" t="s">
        <v>37</v>
      </c>
    </row>
    <row r="8" customFormat="false" ht="23.85" hidden="false" customHeight="false" outlineLevel="0" collapsed="false">
      <c r="A8" s="12" t="s">
        <v>38</v>
      </c>
      <c r="B8" s="12" t="s">
        <v>39</v>
      </c>
      <c r="C8" s="12" t="s">
        <v>6</v>
      </c>
      <c r="D8" s="12" t="s">
        <v>40</v>
      </c>
      <c r="E8" s="12" t="s">
        <v>6</v>
      </c>
      <c r="F8" s="12" t="s">
        <v>41</v>
      </c>
    </row>
    <row r="9" customFormat="false" ht="23.85" hidden="false" customHeight="false" outlineLevel="0" collapsed="false">
      <c r="A9" s="12" t="s">
        <v>42</v>
      </c>
      <c r="B9" s="12" t="s">
        <v>43</v>
      </c>
      <c r="C9" s="12" t="s">
        <v>5</v>
      </c>
      <c r="D9" s="12" t="s">
        <v>44</v>
      </c>
      <c r="E9" s="12" t="s">
        <v>5</v>
      </c>
      <c r="F9" s="12" t="s">
        <v>45</v>
      </c>
    </row>
    <row r="10" customFormat="false" ht="23.85" hidden="false" customHeight="false" outlineLevel="0" collapsed="false">
      <c r="A10" s="12" t="s">
        <v>46</v>
      </c>
      <c r="B10" s="12" t="s">
        <v>47</v>
      </c>
      <c r="C10" s="12" t="s">
        <v>7</v>
      </c>
      <c r="D10" s="12" t="s">
        <v>48</v>
      </c>
      <c r="E10" s="12" t="s">
        <v>5</v>
      </c>
      <c r="F10" s="12" t="s">
        <v>49</v>
      </c>
    </row>
    <row r="11" customFormat="false" ht="15" hidden="false" customHeight="false" outlineLevel="0" collapsed="false">
      <c r="A11" s="12" t="s">
        <v>50</v>
      </c>
      <c r="B11" s="12" t="s">
        <v>51</v>
      </c>
      <c r="C11" s="12" t="s">
        <v>6</v>
      </c>
      <c r="D11" s="12" t="s">
        <v>52</v>
      </c>
      <c r="E11" s="12" t="s">
        <v>5</v>
      </c>
      <c r="F11" s="12" t="s">
        <v>53</v>
      </c>
    </row>
    <row r="12" customFormat="false" ht="15" hidden="false" customHeight="false" outlineLevel="0" collapsed="false">
      <c r="A12" s="12" t="s">
        <v>50</v>
      </c>
      <c r="B12" s="12" t="s">
        <v>54</v>
      </c>
      <c r="C12" s="12" t="s">
        <v>5</v>
      </c>
      <c r="D12" s="12" t="s">
        <v>55</v>
      </c>
      <c r="E12" s="12" t="s">
        <v>5</v>
      </c>
      <c r="F12" s="12" t="s">
        <v>56</v>
      </c>
    </row>
    <row r="13" customFormat="false" ht="15" hidden="false" customHeight="false" outlineLevel="0" collapsed="false">
      <c r="A13" s="12" t="s">
        <v>57</v>
      </c>
      <c r="B13" s="12" t="s">
        <v>58</v>
      </c>
      <c r="C13" s="12" t="s">
        <v>7</v>
      </c>
      <c r="D13" s="12" t="s">
        <v>48</v>
      </c>
      <c r="E13" s="12" t="s">
        <v>5</v>
      </c>
      <c r="F13" s="12" t="s">
        <v>59</v>
      </c>
    </row>
    <row r="14" customFormat="false" ht="15" hidden="false" customHeight="false" outlineLevel="0" collapsed="false">
      <c r="A14" s="12" t="s">
        <v>60</v>
      </c>
      <c r="B14" s="12" t="s">
        <v>61</v>
      </c>
      <c r="C14" s="12" t="s">
        <v>7</v>
      </c>
      <c r="D14" s="12" t="s">
        <v>62</v>
      </c>
      <c r="E14" s="12" t="s">
        <v>7</v>
      </c>
      <c r="F14" s="12" t="s">
        <v>62</v>
      </c>
    </row>
  </sheetData>
  <autoFilter ref="A1:F14"/>
  <conditionalFormatting sqref="C2:C14">
    <cfRule type="cellIs" priority="2" operator="equal" aboveAverage="0" equalAverage="0" bottom="0" percent="0" rank="0" text="" dxfId="6">
      <formula>"Yes"</formula>
    </cfRule>
    <cfRule type="cellIs" priority="3" operator="equal" aboveAverage="0" equalAverage="0" bottom="0" percent="0" rank="0" text="" dxfId="7">
      <formula>"Partly"</formula>
    </cfRule>
    <cfRule type="cellIs" priority="4" operator="equal" aboveAverage="0" equalAverage="0" bottom="0" percent="0" rank="0" text="" dxfId="8">
      <formula>"No"</formula>
    </cfRule>
  </conditionalFormatting>
  <conditionalFormatting sqref="E2:E14">
    <cfRule type="cellIs" priority="5" operator="equal" aboveAverage="0" equalAverage="0" bottom="0" percent="0" rank="0" text="" dxfId="6">
      <formula>"Yes"</formula>
    </cfRule>
    <cfRule type="cellIs" priority="6" operator="equal" aboveAverage="0" equalAverage="0" bottom="0" percent="0" rank="0" text="" dxfId="7">
      <formula>"Partly"</formula>
    </cfRule>
    <cfRule type="cellIs" priority="7" operator="equal" aboveAverage="0" equalAverage="0" bottom="0" percent="0" rank="0" text="" dxfId="8">
      <formula>"No"</formula>
    </cfRule>
  </conditionalFormatting>
  <dataValidations count="2">
    <dataValidation allowBlank="true" errorStyle="stop" operator="between" showDropDown="false" showErrorMessage="false" showInputMessage="false" sqref="C2:C14" type="list">
      <formula1>"Yes,Partly,No"</formula1>
      <formula2>0</formula2>
    </dataValidation>
    <dataValidation allowBlank="true" errorStyle="stop" operator="between" showDropDown="false" showErrorMessage="false" showInputMessage="false" sqref="E2:E14" type="list">
      <formula1>"Yes,Partly,No"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23.85" hidden="false" customHeight="false" outlineLevel="0" collapsed="false">
      <c r="A1" s="11" t="s">
        <v>63</v>
      </c>
      <c r="B1" s="11" t="s">
        <v>64</v>
      </c>
      <c r="C1" s="11" t="s">
        <v>65</v>
      </c>
      <c r="D1" s="11" t="s">
        <v>66</v>
      </c>
    </row>
    <row r="2" customFormat="false" ht="23.85" hidden="false" customHeight="false" outlineLevel="0" collapsed="false">
      <c r="A2" s="12" t="s">
        <v>67</v>
      </c>
      <c r="B2" s="12" t="s">
        <v>68</v>
      </c>
      <c r="C2" s="12" t="s">
        <v>69</v>
      </c>
      <c r="D2" s="12" t="s">
        <v>70</v>
      </c>
    </row>
    <row r="3" customFormat="false" ht="23.85" hidden="false" customHeight="false" outlineLevel="0" collapsed="false">
      <c r="A3" s="12" t="s">
        <v>71</v>
      </c>
      <c r="B3" s="12" t="s">
        <v>72</v>
      </c>
      <c r="C3" s="12" t="s">
        <v>73</v>
      </c>
      <c r="D3" s="12" t="s">
        <v>74</v>
      </c>
    </row>
    <row r="4" customFormat="false" ht="23.85" hidden="false" customHeight="false" outlineLevel="0" collapsed="false">
      <c r="A4" s="12" t="s">
        <v>75</v>
      </c>
      <c r="B4" s="12" t="s">
        <v>76</v>
      </c>
      <c r="C4" s="12" t="s">
        <v>73</v>
      </c>
      <c r="D4" s="12" t="s">
        <v>77</v>
      </c>
    </row>
    <row r="5" customFormat="false" ht="23.85" hidden="false" customHeight="false" outlineLevel="0" collapsed="false">
      <c r="A5" s="12" t="s">
        <v>78</v>
      </c>
      <c r="B5" s="12" t="s">
        <v>79</v>
      </c>
      <c r="C5" s="12" t="s">
        <v>80</v>
      </c>
      <c r="D5" s="12" t="s">
        <v>81</v>
      </c>
    </row>
  </sheetData>
  <autoFilter ref="A1:D5"/>
  <conditionalFormatting sqref="C2:C5">
    <cfRule type="cellIs" priority="2" operator="equal" aboveAverage="0" equalAverage="0" bottom="0" percent="0" rank="0" text="" dxfId="8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6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24"/>
    <col collapsed="false" customWidth="true" hidden="false" outlineLevel="0" max="4" min="4" style="0" width="56"/>
  </cols>
  <sheetData>
    <row r="1" customFormat="false" ht="15" hidden="false" customHeight="false" outlineLevel="0" collapsed="false">
      <c r="A1" s="11" t="s">
        <v>82</v>
      </c>
      <c r="B1" s="11" t="s">
        <v>83</v>
      </c>
      <c r="C1" s="11" t="s">
        <v>2</v>
      </c>
      <c r="D1" s="11" t="s">
        <v>84</v>
      </c>
    </row>
    <row r="2" customFormat="false" ht="15" hidden="false" customHeight="false" outlineLevel="0" collapsed="false">
      <c r="A2" s="12" t="n">
        <v>1</v>
      </c>
      <c r="B2" s="12" t="s">
        <v>85</v>
      </c>
      <c r="C2" s="12" t="s">
        <v>86</v>
      </c>
      <c r="D2" s="12" t="s">
        <v>87</v>
      </c>
    </row>
    <row r="3" customFormat="false" ht="15" hidden="false" customHeight="false" outlineLevel="0" collapsed="false">
      <c r="A3" s="12" t="n">
        <v>2</v>
      </c>
      <c r="B3" s="12" t="s">
        <v>88</v>
      </c>
      <c r="C3" s="12" t="s">
        <v>89</v>
      </c>
      <c r="D3" s="12" t="s">
        <v>90</v>
      </c>
    </row>
    <row r="4" customFormat="false" ht="15" hidden="false" customHeight="false" outlineLevel="0" collapsed="false">
      <c r="A4" s="12" t="n">
        <v>3</v>
      </c>
      <c r="B4" s="12" t="s">
        <v>91</v>
      </c>
      <c r="C4" s="12" t="s">
        <v>92</v>
      </c>
      <c r="D4" s="12" t="s">
        <v>93</v>
      </c>
    </row>
    <row r="5" customFormat="false" ht="15" hidden="false" customHeight="false" outlineLevel="0" collapsed="false">
      <c r="A5" s="12" t="n">
        <v>4</v>
      </c>
      <c r="B5" s="12" t="s">
        <v>94</v>
      </c>
      <c r="C5" s="12" t="s">
        <v>95</v>
      </c>
      <c r="D5" s="12" t="s">
        <v>96</v>
      </c>
    </row>
  </sheetData>
  <autoFilter ref="A1:D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2026-10-27T13:08:11Z</dcterms:created>
  <dc:creator>openpyxl</dc:creator>
  <dc:description/>
  <dc:language>en-US</dc:language>
  <cp:lastModifiedBy/>
  <dcterms:modified xsi:type="dcterms:W3CDTF">2026-10-27T13:08:11Z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